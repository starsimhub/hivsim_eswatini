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autoCompressPictures="0"/>
  <bookViews>
    <workbookView xWindow="780" yWindow="0" windowWidth="26580" windowHeight="17080" tabRatio="500" activeTab="2"/>
  </bookViews>
  <sheets>
    <sheet name="Components" sheetId="1" r:id="rId1"/>
    <sheet name="NationalPrevalence" sheetId="2" r:id="rId2"/>
    <sheet name="ProvincialPrevalence" sheetId="3" r:id="rId3"/>
    <sheet name="On_ART" sheetId="4" r:id="rId4"/>
    <sheet name="Population" sheetId="5" r:id="rId5"/>
    <sheet name="On ART" sheetId="6" r:id="rId6"/>
  </sheets>
  <calcPr calcId="140001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H25" i="4" l="1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G3" i="4"/>
  <c r="H3" i="4"/>
  <c r="G4" i="4"/>
  <c r="H4" i="4"/>
  <c r="G5" i="4"/>
  <c r="H5" i="4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  <c r="H2" i="4"/>
  <c r="G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2" i="3"/>
  <c r="L2" i="3"/>
  <c r="G2" i="2"/>
  <c r="E170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2" i="3"/>
  <c r="H16" i="2"/>
  <c r="H17" i="2"/>
  <c r="G16" i="2"/>
  <c r="G17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</calcChain>
</file>

<file path=xl/sharedStrings.xml><?xml version="1.0" encoding="utf-8"?>
<sst xmlns="http://schemas.openxmlformats.org/spreadsheetml/2006/main" count="959" uniqueCount="75">
  <si>
    <t>Name</t>
  </si>
  <si>
    <t>DataSheet</t>
  </si>
  <si>
    <t>Enable</t>
  </si>
  <si>
    <t>Weight</t>
  </si>
  <si>
    <t>Analyzer</t>
  </si>
  <si>
    <t>args</t>
  </si>
  <si>
    <t>Notes/Source</t>
  </si>
  <si>
    <t>NationalPrevalence</t>
  </si>
  <si>
    <t>NationalPrevalenceAnalyzer</t>
  </si>
  <si>
    <t>DHS, ZIMPHIA</t>
  </si>
  <si>
    <t>ProvincialPrevalence</t>
  </si>
  <si>
    <t>ProvincialPrevalenceAnalyzer</t>
  </si>
  <si>
    <t>ProvincialART</t>
  </si>
  <si>
    <t>On_ART</t>
  </si>
  <si>
    <t>ProvincialARTAnalyzer</t>
  </si>
  <si>
    <t>DHS</t>
  </si>
  <si>
    <t>Incidence</t>
  </si>
  <si>
    <t>IncidenceAnalyzer</t>
  </si>
  <si>
    <t>ZIMPHIA</t>
  </si>
  <si>
    <t>Suppression</t>
  </si>
  <si>
    <t>SuppressionByAgeGenderAnalyzer</t>
  </si>
  <si>
    <t>{  "male_suppression": 0.841,  "female_suppression": 0.879 }</t>
  </si>
  <si>
    <t>ZIMPHIA, ages 15-65 for fraction suppressed by gender</t>
  </si>
  <si>
    <t>Diagnosis</t>
  </si>
  <si>
    <t>Diagnosed</t>
  </si>
  <si>
    <t>DiagnosisAnalyzer</t>
  </si>
  <si>
    <t>ProvincialANCPrevalence</t>
  </si>
  <si>
    <t>ANCPrevalence</t>
  </si>
  <si>
    <t>ProvincialANCAnalyzer</t>
  </si>
  <si>
    <t>Population</t>
  </si>
  <si>
    <t>PopulationAnalyzer</t>
  </si>
  <si>
    <t>Census 2012</t>
  </si>
  <si>
    <t>http://www.statoids.com/uzw.html</t>
  </si>
  <si>
    <t>Year</t>
  </si>
  <si>
    <t>Source</t>
  </si>
  <si>
    <t>Gender</t>
  </si>
  <si>
    <t>AgeBin</t>
  </si>
  <si>
    <t>Count</t>
  </si>
  <si>
    <t>Alpha</t>
  </si>
  <si>
    <t>Beta</t>
  </si>
  <si>
    <t>Low</t>
  </si>
  <si>
    <t>High</t>
  </si>
  <si>
    <t>Var</t>
  </si>
  <si>
    <t>BetaVar</t>
  </si>
  <si>
    <t>Male</t>
  </si>
  <si>
    <t>[15, 20)</t>
  </si>
  <si>
    <t>[20, 25)</t>
  </si>
  <si>
    <t>[25, 30)</t>
  </si>
  <si>
    <t>[30, 35)</t>
  </si>
  <si>
    <t>[35, 40)</t>
  </si>
  <si>
    <t>[40, 45)</t>
  </si>
  <si>
    <t>[45, 50)</t>
  </si>
  <si>
    <t>[50, 55)</t>
  </si>
  <si>
    <t>Female</t>
  </si>
  <si>
    <t>[55, 60)</t>
  </si>
  <si>
    <t>[60, 65)</t>
  </si>
  <si>
    <t>SEARCH</t>
  </si>
  <si>
    <t>Province</t>
  </si>
  <si>
    <t>[15, 50)</t>
  </si>
  <si>
    <t>ControlLowPrevalence</t>
  </si>
  <si>
    <t>ControlHighPrevalence</t>
  </si>
  <si>
    <t>InterventionHighPrevalence</t>
  </si>
  <si>
    <t>ControlMediumPrevalence</t>
  </si>
  <si>
    <t>InterventionLowPrevalence</t>
  </si>
  <si>
    <t>InterventionMediumPrevalence</t>
  </si>
  <si>
    <t>Both</t>
  </si>
  <si>
    <t>[15, 100)</t>
  </si>
  <si>
    <t>[5, 10)</t>
  </si>
  <si>
    <t>[10, 15)</t>
  </si>
  <si>
    <t>[65, 100)</t>
  </si>
  <si>
    <t>[0, 5)</t>
  </si>
  <si>
    <t>All</t>
  </si>
  <si>
    <t>[0, 100)</t>
  </si>
  <si>
    <t>Homa_Bay</t>
  </si>
  <si>
    <t>KAIS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</si>
</sst>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  <charset val="1"/>
    </font>
    <font>
      <u/>
      <sz val="10"/>
      <color theme="10"/>
      <name val="Arial"/>
      <family val="2"/>
      <charset val="1"/>
    </font>
    <font>
      <u/>
      <sz val="10"/>
      <color theme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</fills>
  <borders count="1">
    <border>
      <left/>
      <right/>
      <top/>
      <bottom/>
      <diagonal/>
    </border>
  </borders>
  <cellStyleXfs count="102">
    <xf numFmtId="0" fontId="0" fillId="0" borderId="0"/>
    <xf numFmtId="0" fontId="1" fillId="2" borderId="0" applyBorder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2" fillId="0" borderId="0" xfId="0" applyNumberFormat="1" applyFont="1"/>
    <xf numFmtId="0" fontId="0" fillId="0" borderId="0" xfId="0" applyFont="1"/>
    <xf numFmtId="2" fontId="2" fillId="0" borderId="0" xfId="0" applyNumberFormat="1" applyFont="1"/>
    <xf numFmtId="0" fontId="2" fillId="0" borderId="0" xfId="0" applyFont="1" applyFill="1"/>
    <xf numFmtId="2" fontId="2" fillId="0" borderId="0" xfId="0" applyNumberFormat="1" applyFont="1" applyFill="1"/>
    <xf numFmtId="0" fontId="0" fillId="0" borderId="0" xfId="0" applyFill="1"/>
    <xf numFmtId="0" fontId="0" fillId="0" borderId="0" xfId="0" applyFont="1" applyFill="1"/>
    <xf numFmtId="1" fontId="2" fillId="0" borderId="0" xfId="0" applyNumberFormat="1" applyFont="1"/>
    <xf numFmtId="1" fontId="0" fillId="0" borderId="0" xfId="0" applyNumberFormat="1"/>
  </cellXfs>
  <cellStyles count="102">
    <cellStyle name="Explanatory Text" xfId="1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Normal" xfId="0" builtinId="0"/>
  </cellStyles>
  <dxfs count="0"/>
  <tableStyles count="0" defaultTableStyle="TableStyleMedium9" defaultPivotStyle="PivotStyleMedium4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H9"/>
  <sheetViews>
    <sheetView workbookViewId="0">
      <selection activeCell="H9" sqref="H9"/>
    </sheetView>
  </sheetViews>
  <sheetFormatPr baseColWidth="10" defaultColWidth="8.83203125" defaultRowHeight="13" x14ac:dyDescent="0"/>
  <cols>
    <col min="1" max="1" width="27.33203125" style="1" customWidth="1"/>
    <col min="2" max="2" width="19.6640625" style="1" customWidth="1"/>
    <col min="3" max="3" width="7.33203125" style="1" customWidth="1"/>
    <col min="4" max="4" width="8.33203125" style="1" customWidth="1"/>
    <col min="5" max="5" width="25.6640625" style="1" customWidth="1"/>
    <col min="6" max="6" width="26.5" style="1" customWidth="1"/>
    <col min="7" max="7" width="12.5" style="1" customWidth="1"/>
    <col min="8" max="1022" width="6" style="1" customWidth="1"/>
    <col min="1023" max="1025" width="6.6640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>
      <c r="A2" s="1" t="s">
        <v>7</v>
      </c>
      <c r="B2" s="1" t="s">
        <v>7</v>
      </c>
      <c r="C2" s="1">
        <v>1</v>
      </c>
      <c r="D2" s="1">
        <v>1</v>
      </c>
      <c r="E2" s="1" t="s">
        <v>8</v>
      </c>
      <c r="G2" s="1" t="s">
        <v>9</v>
      </c>
    </row>
    <row r="3" spans="1:8">
      <c r="A3" s="1" t="s">
        <v>10</v>
      </c>
      <c r="B3" s="1" t="s">
        <v>10</v>
      </c>
      <c r="C3" s="1">
        <v>0</v>
      </c>
      <c r="D3" s="1">
        <v>1</v>
      </c>
      <c r="E3" s="1" t="s">
        <v>11</v>
      </c>
      <c r="G3" s="1" t="s">
        <v>9</v>
      </c>
    </row>
    <row r="4" spans="1:8">
      <c r="A4" s="1" t="s">
        <v>12</v>
      </c>
      <c r="B4" s="1" t="s">
        <v>13</v>
      </c>
      <c r="C4" s="1">
        <v>0</v>
      </c>
      <c r="D4" s="1">
        <v>1</v>
      </c>
      <c r="E4" s="1" t="s">
        <v>14</v>
      </c>
      <c r="G4" s="1" t="s">
        <v>15</v>
      </c>
    </row>
    <row r="5" spans="1:8">
      <c r="A5" s="1" t="s">
        <v>16</v>
      </c>
      <c r="B5" s="1" t="s">
        <v>16</v>
      </c>
      <c r="C5" s="1">
        <v>0</v>
      </c>
      <c r="D5" s="1">
        <v>1</v>
      </c>
      <c r="E5" s="1" t="s">
        <v>17</v>
      </c>
      <c r="G5" s="1" t="s">
        <v>18</v>
      </c>
    </row>
    <row r="6" spans="1:8">
      <c r="A6" s="1" t="s">
        <v>19</v>
      </c>
      <c r="B6" s="1" t="s">
        <v>19</v>
      </c>
      <c r="C6" s="1">
        <v>0</v>
      </c>
      <c r="D6" s="1">
        <v>1</v>
      </c>
      <c r="E6" s="1" t="s">
        <v>20</v>
      </c>
      <c r="F6" s="1" t="s">
        <v>21</v>
      </c>
      <c r="G6" s="1" t="s">
        <v>22</v>
      </c>
    </row>
    <row r="7" spans="1:8">
      <c r="A7" s="1" t="s">
        <v>23</v>
      </c>
      <c r="B7" s="1" t="s">
        <v>24</v>
      </c>
      <c r="C7" s="1">
        <v>0</v>
      </c>
      <c r="D7" s="1">
        <v>1</v>
      </c>
      <c r="E7" s="1" t="s">
        <v>25</v>
      </c>
    </row>
    <row r="8" spans="1:8">
      <c r="A8" s="1" t="s">
        <v>26</v>
      </c>
      <c r="B8" s="1" t="s">
        <v>27</v>
      </c>
      <c r="C8" s="1">
        <v>0</v>
      </c>
      <c r="D8" s="1">
        <v>1</v>
      </c>
      <c r="E8" s="1" t="s">
        <v>28</v>
      </c>
    </row>
    <row r="9" spans="1:8">
      <c r="A9" s="1" t="s">
        <v>29</v>
      </c>
      <c r="B9" s="1" t="s">
        <v>29</v>
      </c>
      <c r="C9" s="1">
        <v>0</v>
      </c>
      <c r="D9" s="1">
        <v>1</v>
      </c>
      <c r="E9" s="1" t="s">
        <v>30</v>
      </c>
      <c r="G9" s="1" t="s">
        <v>31</v>
      </c>
      <c r="H9" s="1" t="s">
        <v>32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77"/>
  <sheetViews>
    <sheetView workbookViewId="0">
      <selection activeCell="B13" sqref="B13"/>
    </sheetView>
  </sheetViews>
  <sheetFormatPr baseColWidth="10" defaultColWidth="8.83203125" defaultRowHeight="13" x14ac:dyDescent="0"/>
  <cols>
    <col min="1" max="1" width="12.6640625" style="3" customWidth="1"/>
    <col min="2" max="2" width="8.1640625" style="1" customWidth="1"/>
    <col min="3" max="3" width="6.6640625" style="1" customWidth="1"/>
    <col min="4" max="4" width="22.6640625" style="1" customWidth="1"/>
    <col min="5" max="5" width="18.5" style="1" customWidth="1"/>
    <col min="6" max="6" width="10.83203125" style="1" customWidth="1"/>
    <col min="7" max="7" width="6" style="1" customWidth="1"/>
    <col min="8" max="8" width="11" style="1" customWidth="1"/>
    <col min="9" max="10" width="6" style="1" customWidth="1"/>
    <col min="11" max="12" width="20.5" style="1" customWidth="1"/>
    <col min="13" max="1023" width="6" style="1" customWidth="1"/>
    <col min="1024" max="1025" width="7.83203125" customWidth="1"/>
  </cols>
  <sheetData>
    <row r="1" spans="1:12">
      <c r="A1" s="3" t="s">
        <v>33</v>
      </c>
      <c r="B1" s="1" t="s">
        <v>34</v>
      </c>
      <c r="C1" s="1" t="s">
        <v>35</v>
      </c>
      <c r="D1" s="1" t="s">
        <v>36</v>
      </c>
      <c r="E1" s="1" t="s">
        <v>7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>
      <c r="A2" s="3">
        <v>2013.5</v>
      </c>
      <c r="B2" s="1" t="s">
        <v>56</v>
      </c>
      <c r="C2" s="1" t="s">
        <v>44</v>
      </c>
      <c r="D2" s="1" t="s">
        <v>45</v>
      </c>
      <c r="E2" s="1">
        <v>0.42799100000000001</v>
      </c>
      <c r="F2" s="4">
        <v>14019</v>
      </c>
      <c r="G2" s="4">
        <f t="shared" ref="G2:G17" si="0">1 + E2/100*F2</f>
        <v>61.000058290000005</v>
      </c>
      <c r="H2" s="4">
        <f t="shared" ref="H2:H17" si="1">1 + (1-E2/100)*F2</f>
        <v>13959.999941709999</v>
      </c>
    </row>
    <row r="3" spans="1:12">
      <c r="A3" s="3">
        <v>2013.5</v>
      </c>
      <c r="B3" s="1" t="s">
        <v>56</v>
      </c>
      <c r="C3" s="1" t="s">
        <v>44</v>
      </c>
      <c r="D3" s="1" t="s">
        <v>46</v>
      </c>
      <c r="E3" s="1">
        <v>1.983562</v>
      </c>
      <c r="F3" s="4">
        <v>9125</v>
      </c>
      <c r="G3" s="4">
        <f t="shared" si="0"/>
        <v>182.0000325</v>
      </c>
      <c r="H3" s="4">
        <f t="shared" si="1"/>
        <v>8944.9999674999999</v>
      </c>
    </row>
    <row r="4" spans="1:12">
      <c r="A4" s="3">
        <v>2013.5</v>
      </c>
      <c r="B4" s="1" t="s">
        <v>56</v>
      </c>
      <c r="C4" s="1" t="s">
        <v>44</v>
      </c>
      <c r="D4" s="1" t="s">
        <v>47</v>
      </c>
      <c r="E4" s="1">
        <v>7.2652330000000003</v>
      </c>
      <c r="F4" s="4">
        <v>7763</v>
      </c>
      <c r="G4" s="4">
        <f t="shared" si="0"/>
        <v>565.00003778999996</v>
      </c>
      <c r="H4" s="4">
        <f t="shared" si="1"/>
        <v>7199.9999622099995</v>
      </c>
    </row>
    <row r="5" spans="1:12">
      <c r="A5" s="3">
        <v>2013.5</v>
      </c>
      <c r="B5" s="1" t="s">
        <v>56</v>
      </c>
      <c r="C5" s="1" t="s">
        <v>44</v>
      </c>
      <c r="D5" s="1" t="s">
        <v>48</v>
      </c>
      <c r="E5" s="1">
        <v>12.349074999999999</v>
      </c>
      <c r="F5" s="4">
        <v>6543</v>
      </c>
      <c r="G5" s="4">
        <f t="shared" si="0"/>
        <v>808.99997725000003</v>
      </c>
      <c r="H5" s="4">
        <f t="shared" si="1"/>
        <v>5736.0000227500004</v>
      </c>
    </row>
    <row r="6" spans="1:12">
      <c r="A6" s="3">
        <v>2013.5</v>
      </c>
      <c r="B6" s="1" t="s">
        <v>56</v>
      </c>
      <c r="C6" s="1" t="s">
        <v>44</v>
      </c>
      <c r="D6" s="1" t="s">
        <v>49</v>
      </c>
      <c r="E6" s="1">
        <v>15.441447</v>
      </c>
      <c r="F6" s="4">
        <v>5414</v>
      </c>
      <c r="G6" s="4">
        <f t="shared" si="0"/>
        <v>836.99994058000004</v>
      </c>
      <c r="H6" s="4">
        <f t="shared" si="1"/>
        <v>4579.0000594200001</v>
      </c>
    </row>
    <row r="7" spans="1:12">
      <c r="A7" s="3">
        <v>2013.5</v>
      </c>
      <c r="B7" s="1" t="s">
        <v>56</v>
      </c>
      <c r="C7" s="1" t="s">
        <v>44</v>
      </c>
      <c r="D7" s="1" t="s">
        <v>50</v>
      </c>
      <c r="E7" s="1">
        <v>14.574645</v>
      </c>
      <c r="F7" s="4">
        <v>4796</v>
      </c>
      <c r="G7" s="4">
        <f t="shared" si="0"/>
        <v>699.9999742</v>
      </c>
      <c r="H7" s="4">
        <f t="shared" si="1"/>
        <v>4098.0000258</v>
      </c>
    </row>
    <row r="8" spans="1:12">
      <c r="A8" s="3">
        <v>2013.5</v>
      </c>
      <c r="B8" s="1" t="s">
        <v>56</v>
      </c>
      <c r="C8" s="1" t="s">
        <v>44</v>
      </c>
      <c r="D8" s="1" t="s">
        <v>51</v>
      </c>
      <c r="E8" s="1">
        <v>14.314285999999999</v>
      </c>
      <c r="F8" s="4">
        <v>3500</v>
      </c>
      <c r="G8" s="4">
        <f t="shared" si="0"/>
        <v>502.00000999999992</v>
      </c>
      <c r="H8" s="4">
        <f t="shared" si="1"/>
        <v>2999.9999900000003</v>
      </c>
    </row>
    <row r="9" spans="1:12">
      <c r="A9" s="3">
        <v>2013.5</v>
      </c>
      <c r="B9" s="1" t="s">
        <v>56</v>
      </c>
      <c r="C9" s="1" t="s">
        <v>44</v>
      </c>
      <c r="D9" s="1" t="s">
        <v>52</v>
      </c>
      <c r="E9" s="1">
        <v>11.970941</v>
      </c>
      <c r="F9" s="4">
        <v>3166</v>
      </c>
      <c r="G9" s="4">
        <f t="shared" si="0"/>
        <v>379.99999206000001</v>
      </c>
      <c r="H9" s="4">
        <f t="shared" si="1"/>
        <v>2788.0000079400002</v>
      </c>
    </row>
    <row r="10" spans="1:12">
      <c r="A10" s="3">
        <v>2013.5</v>
      </c>
      <c r="B10" s="1" t="s">
        <v>56</v>
      </c>
      <c r="C10" s="1" t="s">
        <v>53</v>
      </c>
      <c r="D10" s="1" t="s">
        <v>45</v>
      </c>
      <c r="E10" s="1">
        <v>2.4360789999999999</v>
      </c>
      <c r="F10" s="4">
        <v>14080</v>
      </c>
      <c r="G10" s="4">
        <f t="shared" si="0"/>
        <v>343.99992320000001</v>
      </c>
      <c r="H10" s="4">
        <f t="shared" si="1"/>
        <v>13738.000076799999</v>
      </c>
    </row>
    <row r="11" spans="1:12">
      <c r="A11" s="3">
        <v>2013.5</v>
      </c>
      <c r="B11" s="1" t="s">
        <v>56</v>
      </c>
      <c r="C11" s="1" t="s">
        <v>53</v>
      </c>
      <c r="D11" s="1" t="s">
        <v>46</v>
      </c>
      <c r="E11" s="1">
        <v>8.498678</v>
      </c>
      <c r="F11" s="4">
        <v>12096</v>
      </c>
      <c r="G11" s="4">
        <f t="shared" si="0"/>
        <v>1029.00009088</v>
      </c>
      <c r="H11" s="4">
        <f t="shared" si="1"/>
        <v>11068.999909119999</v>
      </c>
    </row>
    <row r="12" spans="1:12">
      <c r="A12" s="3">
        <v>2013.5</v>
      </c>
      <c r="B12" s="1" t="s">
        <v>56</v>
      </c>
      <c r="C12" s="1" t="s">
        <v>53</v>
      </c>
      <c r="D12" s="1" t="s">
        <v>47</v>
      </c>
      <c r="E12" s="1">
        <v>16.326723999999999</v>
      </c>
      <c r="F12" s="4">
        <v>10590</v>
      </c>
      <c r="G12" s="4">
        <f t="shared" si="0"/>
        <v>1730.0000715999997</v>
      </c>
      <c r="H12" s="4">
        <f t="shared" si="1"/>
        <v>8861.9999284000005</v>
      </c>
    </row>
    <row r="13" spans="1:12">
      <c r="A13" s="3">
        <v>2013.5</v>
      </c>
      <c r="B13" s="1" t="s">
        <v>56</v>
      </c>
      <c r="C13" s="1" t="s">
        <v>53</v>
      </c>
      <c r="D13" s="1" t="s">
        <v>48</v>
      </c>
      <c r="E13" s="1">
        <v>16.721271999999999</v>
      </c>
      <c r="F13" s="4">
        <v>8546</v>
      </c>
      <c r="G13" s="4">
        <f t="shared" si="0"/>
        <v>1429.9999051199998</v>
      </c>
      <c r="H13" s="4">
        <f t="shared" si="1"/>
        <v>7118.0000948799998</v>
      </c>
    </row>
    <row r="14" spans="1:12">
      <c r="A14" s="3">
        <v>2013.5</v>
      </c>
      <c r="B14" s="1" t="s">
        <v>56</v>
      </c>
      <c r="C14" s="1" t="s">
        <v>53</v>
      </c>
      <c r="D14" s="1" t="s">
        <v>49</v>
      </c>
      <c r="E14" s="1">
        <v>18.334264999999998</v>
      </c>
      <c r="F14" s="4">
        <v>7156</v>
      </c>
      <c r="G14" s="4">
        <f t="shared" si="0"/>
        <v>1313.0000034</v>
      </c>
      <c r="H14" s="4">
        <f t="shared" si="1"/>
        <v>5844.9999966000005</v>
      </c>
    </row>
    <row r="15" spans="1:12">
      <c r="A15" s="3">
        <v>2013.5</v>
      </c>
      <c r="B15" s="1" t="s">
        <v>56</v>
      </c>
      <c r="C15" s="1" t="s">
        <v>53</v>
      </c>
      <c r="D15" s="1" t="s">
        <v>50</v>
      </c>
      <c r="E15" s="1">
        <v>17.666391999999998</v>
      </c>
      <c r="F15" s="4">
        <v>6085</v>
      </c>
      <c r="G15" s="4">
        <f t="shared" si="0"/>
        <v>1075.9999531999999</v>
      </c>
      <c r="H15" s="4">
        <f t="shared" si="1"/>
        <v>5011.0000467999998</v>
      </c>
    </row>
    <row r="16" spans="1:12">
      <c r="A16" s="3">
        <v>2013.5</v>
      </c>
      <c r="B16" s="1" t="s">
        <v>56</v>
      </c>
      <c r="C16" s="1" t="s">
        <v>53</v>
      </c>
      <c r="D16" s="1" t="s">
        <v>51</v>
      </c>
      <c r="E16" s="1">
        <v>14.921754999999999</v>
      </c>
      <c r="F16" s="4">
        <v>4537</v>
      </c>
      <c r="G16" s="4">
        <f t="shared" si="0"/>
        <v>678.00002434999999</v>
      </c>
      <c r="H16" s="4">
        <f t="shared" si="1"/>
        <v>3860.9999756499997</v>
      </c>
    </row>
    <row r="17" spans="1:1023">
      <c r="A17" s="3">
        <v>2013.5</v>
      </c>
      <c r="B17" s="1" t="s">
        <v>56</v>
      </c>
      <c r="C17" s="1" t="s">
        <v>53</v>
      </c>
      <c r="D17" s="1" t="s">
        <v>52</v>
      </c>
      <c r="E17" s="1">
        <v>11.833192</v>
      </c>
      <c r="F17" s="4">
        <v>4724</v>
      </c>
      <c r="G17" s="4">
        <f t="shared" si="0"/>
        <v>559.99999008000009</v>
      </c>
      <c r="H17" s="4">
        <f t="shared" si="1"/>
        <v>4166.0000099199997</v>
      </c>
    </row>
    <row r="18" spans="1:1023">
      <c r="A18" s="1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</row>
    <row r="19" spans="1:1023">
      <c r="A19" s="1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</row>
    <row r="20" spans="1:1023">
      <c r="A20" s="1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</row>
    <row r="21" spans="1:1023">
      <c r="A21" s="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</row>
    <row r="22" spans="1:1023">
      <c r="A22" s="1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</row>
    <row r="23" spans="1:1023">
      <c r="A23" s="1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</row>
    <row r="24" spans="1:1023">
      <c r="A24" s="1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</row>
    <row r="25" spans="1:1023">
      <c r="A25" s="1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</row>
    <row r="26" spans="1:1023">
      <c r="A26" s="1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</row>
    <row r="27" spans="1:1023">
      <c r="A27" s="1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</row>
    <row r="28" spans="1:1023">
      <c r="A28" s="1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</row>
    <row r="29" spans="1:1023">
      <c r="A29" s="1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</row>
    <row r="30" spans="1:1023">
      <c r="A30" s="1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</row>
    <row r="31" spans="1:1023">
      <c r="A31" s="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</row>
    <row r="32" spans="1:1023">
      <c r="A32" s="1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</row>
    <row r="33" spans="1:1023">
      <c r="A33" s="1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</row>
    <row r="34" spans="1:1023">
      <c r="A34" s="1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</row>
    <row r="35" spans="1:1023">
      <c r="A35" s="1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</row>
    <row r="36" spans="1:1023">
      <c r="A36" s="1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</row>
    <row r="37" spans="1:1023">
      <c r="A37" s="1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</row>
    <row r="38" spans="1:1023">
      <c r="A38" s="1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</row>
    <row r="39" spans="1:1023">
      <c r="A39" s="1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</row>
    <row r="40" spans="1:1023">
      <c r="A40" s="1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</row>
    <row r="41" spans="1:1023">
      <c r="A41" s="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</row>
    <row r="42" spans="1:1023">
      <c r="A42" s="1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</row>
    <row r="43" spans="1:1023">
      <c r="A43" s="1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</row>
    <row r="44" spans="1:1023">
      <c r="A44" s="1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</row>
    <row r="45" spans="1:1023">
      <c r="A45" s="1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</row>
    <row r="46" spans="1:1023">
      <c r="A46" s="1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</row>
    <row r="47" spans="1:1023">
      <c r="A47" s="1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</row>
    <row r="48" spans="1:1023">
      <c r="A48" s="1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</row>
    <row r="49" spans="1:1023">
      <c r="A49" s="1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</row>
    <row r="50" spans="1:1023">
      <c r="A50" s="1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</row>
    <row r="51" spans="1:1023">
      <c r="A51" s="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</row>
    <row r="52" spans="1:1023">
      <c r="A52" s="1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</row>
    <row r="53" spans="1:1023">
      <c r="A53" s="1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</row>
    <row r="54" spans="1:1023">
      <c r="A54" s="1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</row>
    <row r="55" spans="1:1023">
      <c r="A55" s="1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</row>
    <row r="56" spans="1:1023">
      <c r="A56" s="1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</row>
    <row r="57" spans="1:1023">
      <c r="A57" s="1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</row>
    <row r="58" spans="1:1023">
      <c r="A58" s="1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</row>
    <row r="59" spans="1:1023">
      <c r="A59" s="1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</row>
    <row r="60" spans="1:1023">
      <c r="A60" s="1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</row>
    <row r="61" spans="1:1023">
      <c r="A61" s="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</row>
    <row r="62" spans="1:1023">
      <c r="A62" s="1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</row>
    <row r="63" spans="1:1023">
      <c r="A63" s="1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</row>
    <row r="64" spans="1:1023">
      <c r="A64" s="1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</row>
    <row r="65" spans="1:1023">
      <c r="A65" s="1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</row>
    <row r="66" spans="1:1023">
      <c r="A66" s="1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</row>
    <row r="67" spans="1:1023">
      <c r="A67" s="1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</row>
    <row r="68" spans="1:1023">
      <c r="A68" s="1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</row>
    <row r="69" spans="1:1023">
      <c r="A69" s="1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</row>
    <row r="70" spans="1:1023">
      <c r="A70" s="1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</row>
    <row r="71" spans="1:1023">
      <c r="A71" s="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</row>
    <row r="72" spans="1:1023">
      <c r="A72" s="1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</row>
    <row r="73" spans="1:1023">
      <c r="A73" s="1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</row>
    <row r="74" spans="1:1023">
      <c r="A74" s="1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</row>
    <row r="75" spans="1:1023">
      <c r="A75" s="1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</row>
    <row r="76" spans="1:1023">
      <c r="A76" s="1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</row>
    <row r="77" spans="1:1023">
      <c r="A77" s="1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A4" workbookViewId="0">
      <selection activeCell="A49" sqref="A49:F49"/>
    </sheetView>
  </sheetViews>
  <sheetFormatPr baseColWidth="10" defaultColWidth="11.5" defaultRowHeight="12" x14ac:dyDescent="0"/>
  <cols>
    <col min="3" max="3" width="25.83203125" bestFit="1" customWidth="1"/>
  </cols>
  <sheetData>
    <row r="1" spans="1:13" ht="13">
      <c r="A1" s="1" t="s">
        <v>33</v>
      </c>
      <c r="B1" s="1" t="s">
        <v>34</v>
      </c>
      <c r="C1" s="1" t="s">
        <v>57</v>
      </c>
      <c r="D1" s="1" t="s">
        <v>35</v>
      </c>
      <c r="E1" s="1" t="s">
        <v>36</v>
      </c>
      <c r="F1" s="1" t="s">
        <v>10</v>
      </c>
      <c r="G1" s="1" t="s">
        <v>37</v>
      </c>
      <c r="H1" s="1" t="s">
        <v>40</v>
      </c>
      <c r="I1" s="1" t="s">
        <v>41</v>
      </c>
      <c r="J1" t="s">
        <v>42</v>
      </c>
      <c r="K1" s="5" t="s">
        <v>38</v>
      </c>
      <c r="L1" s="5" t="s">
        <v>39</v>
      </c>
      <c r="M1" s="5" t="s">
        <v>43</v>
      </c>
    </row>
    <row r="2" spans="1:13" ht="13">
      <c r="A2" s="1">
        <v>2003</v>
      </c>
      <c r="B2" s="1" t="s">
        <v>56</v>
      </c>
      <c r="C2" s="1" t="s">
        <v>60</v>
      </c>
      <c r="D2" s="1" t="s">
        <v>53</v>
      </c>
      <c r="E2" s="1" t="s">
        <v>58</v>
      </c>
      <c r="F2" s="1">
        <v>18.3</v>
      </c>
      <c r="G2" s="1">
        <v>432</v>
      </c>
      <c r="H2" s="6">
        <f>100*_xlfn.BETA.INV(0.025, 1+ProvincialPrevalence!G2*ProvincialPrevalence!F2/100, 1+ProvincialPrevalence!G2*(1-ProvincialPrevalence!F2/100))</f>
        <v>14.942645092015958</v>
      </c>
      <c r="I2" s="6">
        <f>100*_xlfn.BETA.INV(0.975, 1+ProvincialPrevalence!G2*ProvincialPrevalence!F2/100, 1+ProvincialPrevalence!G2*(1-ProvincialPrevalence!F2/100))</f>
        <v>22.224885357812806</v>
      </c>
      <c r="K2" s="5">
        <f>1 + F2/100*G2</f>
        <v>80.055999999999997</v>
      </c>
      <c r="L2" s="5">
        <f>1 + (1-F2/100)*G2</f>
        <v>353.94399999999996</v>
      </c>
      <c r="M2" s="5"/>
    </row>
    <row r="3" spans="1:13" ht="13">
      <c r="A3" s="1">
        <v>2003</v>
      </c>
      <c r="B3" s="1" t="s">
        <v>56</v>
      </c>
      <c r="C3" s="1" t="s">
        <v>61</v>
      </c>
      <c r="D3" s="1" t="s">
        <v>53</v>
      </c>
      <c r="E3" s="1" t="s">
        <v>58</v>
      </c>
      <c r="F3" s="1">
        <v>18.3</v>
      </c>
      <c r="G3" s="1">
        <v>432</v>
      </c>
      <c r="H3" s="6">
        <f>100*_xlfn.BETA.INV(0.025, 1+ProvincialPrevalence!G3*ProvincialPrevalence!F3/100, 1+ProvincialPrevalence!G3*(1-ProvincialPrevalence!F3/100))</f>
        <v>14.942645092015958</v>
      </c>
      <c r="I3" s="6">
        <f>100*_xlfn.BETA.INV(0.975, 1+ProvincialPrevalence!G3*ProvincialPrevalence!F3/100, 1+ProvincialPrevalence!G3*(1-ProvincialPrevalence!F3/100))</f>
        <v>22.224885357812806</v>
      </c>
      <c r="K3" s="5">
        <f t="shared" ref="K3:K37" si="0">1 + F3/100*G3</f>
        <v>80.055999999999997</v>
      </c>
      <c r="L3" s="5">
        <f t="shared" ref="L3:L37" si="1">1 + (1-F3/100)*G3</f>
        <v>353.94399999999996</v>
      </c>
      <c r="M3" s="5"/>
    </row>
    <row r="4" spans="1:13" ht="13">
      <c r="A4" s="1">
        <v>2003</v>
      </c>
      <c r="B4" s="1" t="s">
        <v>56</v>
      </c>
      <c r="C4" s="1" t="s">
        <v>60</v>
      </c>
      <c r="D4" s="1" t="s">
        <v>44</v>
      </c>
      <c r="E4" s="1" t="s">
        <v>58</v>
      </c>
      <c r="F4" s="1">
        <v>11.6</v>
      </c>
      <c r="G4" s="1">
        <v>376</v>
      </c>
      <c r="H4" s="6">
        <f>100*_xlfn.BETA.INV(0.025, 1+ProvincialPrevalence!G4*ProvincialPrevalence!F4/100, 1+ProvincialPrevalence!G4*(1-ProvincialPrevalence!F4/100))</f>
        <v>8.7521394117902496</v>
      </c>
      <c r="I4" s="6">
        <f>100*_xlfn.BETA.INV(0.975, 1+ProvincialPrevalence!G4*ProvincialPrevalence!F4/100, 1+ProvincialPrevalence!G4*(1-ProvincialPrevalence!F4/100))</f>
        <v>15.236691314905737</v>
      </c>
      <c r="K4" s="5">
        <f t="shared" si="0"/>
        <v>44.616</v>
      </c>
      <c r="L4" s="5">
        <f t="shared" si="1"/>
        <v>333.38400000000001</v>
      </c>
      <c r="M4" s="5"/>
    </row>
    <row r="5" spans="1:13" ht="13">
      <c r="A5" s="1">
        <v>2003</v>
      </c>
      <c r="B5" s="1" t="s">
        <v>56</v>
      </c>
      <c r="C5" s="1" t="s">
        <v>61</v>
      </c>
      <c r="D5" s="1" t="s">
        <v>44</v>
      </c>
      <c r="E5" s="1" t="s">
        <v>58</v>
      </c>
      <c r="F5" s="1">
        <v>11.6</v>
      </c>
      <c r="G5" s="1">
        <v>376</v>
      </c>
      <c r="H5" s="6">
        <f>100*_xlfn.BETA.INV(0.025, 1+ProvincialPrevalence!G5*ProvincialPrevalence!F5/100, 1+ProvincialPrevalence!G5*(1-ProvincialPrevalence!F5/100))</f>
        <v>8.7521394117902496</v>
      </c>
      <c r="I5" s="6">
        <f>100*_xlfn.BETA.INV(0.975, 1+ProvincialPrevalence!G5*ProvincialPrevalence!F5/100, 1+ProvincialPrevalence!G5*(1-ProvincialPrevalence!F5/100))</f>
        <v>15.236691314905737</v>
      </c>
      <c r="K5" s="5">
        <f t="shared" si="0"/>
        <v>44.616</v>
      </c>
      <c r="L5" s="5">
        <f t="shared" si="1"/>
        <v>333.38400000000001</v>
      </c>
      <c r="M5" s="5"/>
    </row>
    <row r="6" spans="1:13" ht="13">
      <c r="A6" s="1">
        <v>2004</v>
      </c>
      <c r="B6" s="1" t="s">
        <v>56</v>
      </c>
      <c r="C6" s="1" t="s">
        <v>59</v>
      </c>
      <c r="D6" s="1" t="s">
        <v>53</v>
      </c>
      <c r="E6" s="1" t="s">
        <v>58</v>
      </c>
      <c r="F6" s="1">
        <v>6.2</v>
      </c>
      <c r="G6" s="1">
        <v>813</v>
      </c>
      <c r="H6" s="6">
        <f>100*_xlfn.BETA.INV(0.025, 1+ProvincialPrevalence!G6*ProvincialPrevalence!F6/100, 1+ProvincialPrevalence!G6*(1-ProvincialPrevalence!F6/100))</f>
        <v>4.743716423242911</v>
      </c>
      <c r="I6" s="6">
        <f>100*_xlfn.BETA.INV(0.975, 1+ProvincialPrevalence!G6*ProvincialPrevalence!F6/100, 1+ProvincialPrevalence!G6*(1-ProvincialPrevalence!F6/100))</f>
        <v>8.0741426195313224</v>
      </c>
      <c r="K6" s="5">
        <f t="shared" si="0"/>
        <v>51.405999999999999</v>
      </c>
      <c r="L6" s="5">
        <f t="shared" si="1"/>
        <v>763.59399999999994</v>
      </c>
      <c r="M6" s="5"/>
    </row>
    <row r="7" spans="1:13" ht="13">
      <c r="A7" s="1">
        <v>2004</v>
      </c>
      <c r="B7" s="1" t="s">
        <v>56</v>
      </c>
      <c r="C7" s="1" t="s">
        <v>62</v>
      </c>
      <c r="D7" s="1" t="s">
        <v>53</v>
      </c>
      <c r="E7" s="1" t="s">
        <v>58</v>
      </c>
      <c r="F7" s="1">
        <v>7.1</v>
      </c>
      <c r="G7" s="1">
        <v>1232</v>
      </c>
      <c r="H7" s="6">
        <f>100*_xlfn.BETA.INV(0.025, 1+ProvincialPrevalence!G7*ProvincialPrevalence!F7/100, 1+ProvincialPrevalence!G7*(1-ProvincialPrevalence!F7/100))</f>
        <v>5.7977932816259772</v>
      </c>
      <c r="I7" s="6">
        <f>100*_xlfn.BETA.INV(0.975, 1+ProvincialPrevalence!G7*ProvincialPrevalence!F7/100, 1+ProvincialPrevalence!G7*(1-ProvincialPrevalence!F7/100))</f>
        <v>8.6726854784422436</v>
      </c>
      <c r="K7" s="5">
        <f t="shared" si="0"/>
        <v>88.471999999999994</v>
      </c>
      <c r="L7" s="5">
        <f t="shared" si="1"/>
        <v>1145.528</v>
      </c>
      <c r="M7" s="5"/>
    </row>
    <row r="8" spans="1:13" ht="13">
      <c r="A8" s="1">
        <v>2004</v>
      </c>
      <c r="B8" s="1" t="s">
        <v>56</v>
      </c>
      <c r="C8" s="1" t="s">
        <v>63</v>
      </c>
      <c r="D8" s="1" t="s">
        <v>53</v>
      </c>
      <c r="E8" s="1" t="s">
        <v>58</v>
      </c>
      <c r="F8" s="1">
        <v>6.2</v>
      </c>
      <c r="G8" s="1">
        <v>813</v>
      </c>
      <c r="H8" s="6">
        <f>100*_xlfn.BETA.INV(0.025, 1+ProvincialPrevalence!G8*ProvincialPrevalence!F8/100, 1+ProvincialPrevalence!G8*(1-ProvincialPrevalence!F8/100))</f>
        <v>4.743716423242911</v>
      </c>
      <c r="I8" s="6">
        <f>100*_xlfn.BETA.INV(0.975, 1+ProvincialPrevalence!G8*ProvincialPrevalence!F8/100, 1+ProvincialPrevalence!G8*(1-ProvincialPrevalence!F8/100))</f>
        <v>8.0741426195313224</v>
      </c>
      <c r="K8" s="5">
        <f t="shared" si="0"/>
        <v>51.405999999999999</v>
      </c>
      <c r="L8" s="5">
        <f t="shared" si="1"/>
        <v>763.59399999999994</v>
      </c>
      <c r="M8" s="5"/>
    </row>
    <row r="9" spans="1:13" ht="13">
      <c r="A9" s="1">
        <v>2004</v>
      </c>
      <c r="B9" s="1" t="s">
        <v>56</v>
      </c>
      <c r="C9" s="1" t="s">
        <v>64</v>
      </c>
      <c r="D9" s="1" t="s">
        <v>53</v>
      </c>
      <c r="E9" s="1" t="s">
        <v>58</v>
      </c>
      <c r="F9" s="1">
        <v>7.1</v>
      </c>
      <c r="G9" s="1">
        <v>1232</v>
      </c>
      <c r="H9" s="6">
        <f>100*_xlfn.BETA.INV(0.025, 1+ProvincialPrevalence!G9*ProvincialPrevalence!F9/100, 1+ProvincialPrevalence!G9*(1-ProvincialPrevalence!F9/100))</f>
        <v>5.7977932816259772</v>
      </c>
      <c r="I9" s="6">
        <f>100*_xlfn.BETA.INV(0.975, 1+ProvincialPrevalence!G9*ProvincialPrevalence!F9/100, 1+ProvincialPrevalence!G9*(1-ProvincialPrevalence!F9/100))</f>
        <v>8.6726854784422436</v>
      </c>
      <c r="K9" s="5">
        <f t="shared" si="0"/>
        <v>88.471999999999994</v>
      </c>
      <c r="L9" s="5">
        <f t="shared" si="1"/>
        <v>1145.528</v>
      </c>
      <c r="M9" s="5"/>
    </row>
    <row r="10" spans="1:13" ht="13">
      <c r="A10" s="1">
        <v>2004</v>
      </c>
      <c r="B10" s="1" t="s">
        <v>56</v>
      </c>
      <c r="C10" s="1" t="s">
        <v>59</v>
      </c>
      <c r="D10" s="1" t="s">
        <v>44</v>
      </c>
      <c r="E10" s="1" t="s">
        <v>58</v>
      </c>
      <c r="F10" s="1">
        <v>4.4000000000000004</v>
      </c>
      <c r="G10" s="1">
        <v>724</v>
      </c>
      <c r="H10" s="6">
        <f>100*_xlfn.BETA.INV(0.025, 1+ProvincialPrevalence!G10*ProvincialPrevalence!F10/100, 1+ProvincialPrevalence!G10*(1-ProvincialPrevalence!F10/100))</f>
        <v>3.1369652374601689</v>
      </c>
      <c r="I10" s="6">
        <f>100*_xlfn.BETA.INV(0.975, 1+ProvincialPrevalence!G10*ProvincialPrevalence!F10/100, 1+ProvincialPrevalence!G10*(1-ProvincialPrevalence!F10/100))</f>
        <v>6.1511437661231465</v>
      </c>
      <c r="K10" s="5">
        <f t="shared" si="0"/>
        <v>32.856000000000002</v>
      </c>
      <c r="L10" s="5">
        <f t="shared" si="1"/>
        <v>693.14400000000001</v>
      </c>
      <c r="M10" s="5"/>
    </row>
    <row r="11" spans="1:13" ht="13">
      <c r="A11" s="1">
        <v>2004</v>
      </c>
      <c r="B11" s="1" t="s">
        <v>56</v>
      </c>
      <c r="C11" s="1" t="s">
        <v>62</v>
      </c>
      <c r="D11" s="1" t="s">
        <v>44</v>
      </c>
      <c r="E11" s="1" t="s">
        <v>58</v>
      </c>
      <c r="F11" s="1">
        <v>4.4000000000000004</v>
      </c>
      <c r="G11" s="1">
        <v>952</v>
      </c>
      <c r="H11" s="6">
        <f>100*_xlfn.BETA.INV(0.025, 1+ProvincialPrevalence!G11*ProvincialPrevalence!F11/100, 1+ProvincialPrevalence!G11*(1-ProvincialPrevalence!F11/100))</f>
        <v>3.2742627141653546</v>
      </c>
      <c r="I11" s="6">
        <f>100*_xlfn.BETA.INV(0.975, 1+ProvincialPrevalence!G11*ProvincialPrevalence!F11/100, 1+ProvincialPrevalence!G11*(1-ProvincialPrevalence!F11/100))</f>
        <v>5.8973888436320117</v>
      </c>
      <c r="K11" s="5">
        <f t="shared" si="0"/>
        <v>42.888000000000005</v>
      </c>
      <c r="L11" s="5">
        <f t="shared" si="1"/>
        <v>911.11199999999997</v>
      </c>
      <c r="M11" s="5"/>
    </row>
    <row r="12" spans="1:13" s="9" customFormat="1" ht="13">
      <c r="A12" s="1">
        <v>2004</v>
      </c>
      <c r="B12" s="1" t="s">
        <v>56</v>
      </c>
      <c r="C12" s="1" t="s">
        <v>63</v>
      </c>
      <c r="D12" s="1" t="s">
        <v>44</v>
      </c>
      <c r="E12" s="1" t="s">
        <v>58</v>
      </c>
      <c r="F12" s="1">
        <v>4.4000000000000004</v>
      </c>
      <c r="G12" s="1">
        <v>724</v>
      </c>
      <c r="H12" s="6">
        <f>100*_xlfn.BETA.INV(0.025, 1+ProvincialPrevalence!G12*ProvincialPrevalence!F12/100, 1+ProvincialPrevalence!G12*(1-ProvincialPrevalence!F12/100))</f>
        <v>3.1369652374601689</v>
      </c>
      <c r="I12" s="6">
        <f>100*_xlfn.BETA.INV(0.975, 1+ProvincialPrevalence!G12*ProvincialPrevalence!F12/100, 1+ProvincialPrevalence!G12*(1-ProvincialPrevalence!F12/100))</f>
        <v>6.1511437661231465</v>
      </c>
      <c r="K12" s="5">
        <f t="shared" si="0"/>
        <v>32.856000000000002</v>
      </c>
      <c r="L12" s="5">
        <f t="shared" si="1"/>
        <v>693.14400000000001</v>
      </c>
      <c r="M12" s="10"/>
    </row>
    <row r="13" spans="1:13" s="9" customFormat="1" ht="13">
      <c r="A13" s="1">
        <v>2004</v>
      </c>
      <c r="B13" s="1" t="s">
        <v>56</v>
      </c>
      <c r="C13" s="1" t="s">
        <v>64</v>
      </c>
      <c r="D13" s="1" t="s">
        <v>44</v>
      </c>
      <c r="E13" s="1" t="s">
        <v>58</v>
      </c>
      <c r="F13" s="1">
        <v>4.4000000000000004</v>
      </c>
      <c r="G13" s="1">
        <v>952</v>
      </c>
      <c r="H13" s="6">
        <f>100*_xlfn.BETA.INV(0.025, 1+ProvincialPrevalence!G13*ProvincialPrevalence!F13/100, 1+ProvincialPrevalence!G13*(1-ProvincialPrevalence!F13/100))</f>
        <v>3.2742627141653546</v>
      </c>
      <c r="I13" s="6">
        <f>100*_xlfn.BETA.INV(0.975, 1+ProvincialPrevalence!G13*ProvincialPrevalence!F13/100, 1+ProvincialPrevalence!G13*(1-ProvincialPrevalence!F13/100))</f>
        <v>5.8973888436320117</v>
      </c>
      <c r="K13" s="5">
        <f t="shared" si="0"/>
        <v>42.888000000000005</v>
      </c>
      <c r="L13" s="5">
        <f t="shared" si="1"/>
        <v>911.11199999999997</v>
      </c>
      <c r="M13" s="10"/>
    </row>
    <row r="14" spans="1:13" ht="13">
      <c r="A14" s="7">
        <v>2008</v>
      </c>
      <c r="B14" s="7" t="s">
        <v>56</v>
      </c>
      <c r="C14" s="7" t="s">
        <v>60</v>
      </c>
      <c r="D14" s="7" t="s">
        <v>53</v>
      </c>
      <c r="E14" s="7" t="s">
        <v>58</v>
      </c>
      <c r="F14" s="7">
        <v>16</v>
      </c>
      <c r="G14" s="7">
        <v>599</v>
      </c>
      <c r="H14" s="8">
        <f>100*_xlfn.BETA.INV(0.025, 1+ProvincialPrevalence!G14*ProvincialPrevalence!F14/100, 1+ProvincialPrevalence!G14*(1-ProvincialPrevalence!F14/100))</f>
        <v>13.285517325627003</v>
      </c>
      <c r="I14" s="8">
        <f>100*_xlfn.BETA.INV(0.975, 1+ProvincialPrevalence!G14*ProvincialPrevalence!F14/100, 1+ProvincialPrevalence!G14*(1-ProvincialPrevalence!F14/100))</f>
        <v>19.154322578977776</v>
      </c>
      <c r="K14" s="5">
        <f t="shared" si="0"/>
        <v>96.84</v>
      </c>
      <c r="L14" s="5">
        <f t="shared" si="1"/>
        <v>504.15999999999997</v>
      </c>
      <c r="M14" s="5"/>
    </row>
    <row r="15" spans="1:13" ht="13">
      <c r="A15" s="7">
        <v>2008</v>
      </c>
      <c r="B15" s="7" t="s">
        <v>56</v>
      </c>
      <c r="C15" s="7" t="s">
        <v>61</v>
      </c>
      <c r="D15" s="7" t="s">
        <v>53</v>
      </c>
      <c r="E15" s="7" t="s">
        <v>58</v>
      </c>
      <c r="F15" s="7">
        <v>16</v>
      </c>
      <c r="G15" s="7">
        <v>599</v>
      </c>
      <c r="H15" s="8">
        <f>100*_xlfn.BETA.INV(0.025, 1+ProvincialPrevalence!G15*ProvincialPrevalence!F15/100, 1+ProvincialPrevalence!G15*(1-ProvincialPrevalence!F15/100))</f>
        <v>13.285517325627003</v>
      </c>
      <c r="I15" s="8">
        <f>100*_xlfn.BETA.INV(0.975, 1+ProvincialPrevalence!G15*ProvincialPrevalence!F15/100, 1+ProvincialPrevalence!G15*(1-ProvincialPrevalence!F15/100))</f>
        <v>19.154322578977776</v>
      </c>
      <c r="K15" s="5">
        <f t="shared" si="0"/>
        <v>96.84</v>
      </c>
      <c r="L15" s="5">
        <f t="shared" si="1"/>
        <v>504.15999999999997</v>
      </c>
      <c r="M15" s="5"/>
    </row>
    <row r="16" spans="1:13" ht="13">
      <c r="A16" s="7">
        <v>2008</v>
      </c>
      <c r="B16" s="7" t="s">
        <v>56</v>
      </c>
      <c r="C16" s="7" t="s">
        <v>60</v>
      </c>
      <c r="D16" s="7" t="s">
        <v>44</v>
      </c>
      <c r="E16" s="7" t="s">
        <v>58</v>
      </c>
      <c r="F16" s="7">
        <v>11.4</v>
      </c>
      <c r="G16" s="7">
        <v>494</v>
      </c>
      <c r="H16" s="8">
        <f>100*_xlfn.BETA.INV(0.025, 1+ProvincialPrevalence!G16*ProvincialPrevalence!F16/100, 1+ProvincialPrevalence!G16*(1-ProvincialPrevalence!F16/100))</f>
        <v>8.8957987207254536</v>
      </c>
      <c r="I16" s="8">
        <f>100*_xlfn.BETA.INV(0.975, 1+ProvincialPrevalence!G16*ProvincialPrevalence!F16/100, 1+ProvincialPrevalence!G16*(1-ProvincialPrevalence!F16/100))</f>
        <v>14.508927055993293</v>
      </c>
      <c r="K16" s="5">
        <f t="shared" si="0"/>
        <v>57.316000000000003</v>
      </c>
      <c r="L16" s="5">
        <f t="shared" si="1"/>
        <v>438.68400000000003</v>
      </c>
      <c r="M16" s="5"/>
    </row>
    <row r="17" spans="1:13" ht="13">
      <c r="A17" s="7">
        <v>2008</v>
      </c>
      <c r="B17" s="7" t="s">
        <v>56</v>
      </c>
      <c r="C17" s="7" t="s">
        <v>61</v>
      </c>
      <c r="D17" s="7" t="s">
        <v>44</v>
      </c>
      <c r="E17" s="7" t="s">
        <v>58</v>
      </c>
      <c r="F17" s="7">
        <v>11.4</v>
      </c>
      <c r="G17" s="7">
        <v>494</v>
      </c>
      <c r="H17" s="8">
        <f>100*_xlfn.BETA.INV(0.025, 1+ProvincialPrevalence!G17*ProvincialPrevalence!F17/100, 1+ProvincialPrevalence!G17*(1-ProvincialPrevalence!F17/100))</f>
        <v>8.8957987207254536</v>
      </c>
      <c r="I17" s="8">
        <f>100*_xlfn.BETA.INV(0.975, 1+ProvincialPrevalence!G17*ProvincialPrevalence!F17/100, 1+ProvincialPrevalence!G17*(1-ProvincialPrevalence!F17/100))</f>
        <v>14.508927055993293</v>
      </c>
      <c r="K17" s="5">
        <f t="shared" si="0"/>
        <v>57.316000000000003</v>
      </c>
      <c r="L17" s="5">
        <f t="shared" si="1"/>
        <v>438.68400000000003</v>
      </c>
      <c r="M17" s="5"/>
    </row>
    <row r="18" spans="1:13" ht="13">
      <c r="A18" s="1">
        <v>2011</v>
      </c>
      <c r="B18" s="1" t="s">
        <v>56</v>
      </c>
      <c r="C18" s="1" t="s">
        <v>59</v>
      </c>
      <c r="D18" s="1" t="s">
        <v>53</v>
      </c>
      <c r="E18" s="1" t="s">
        <v>58</v>
      </c>
      <c r="F18" s="1">
        <v>5</v>
      </c>
      <c r="G18" s="1">
        <v>1103</v>
      </c>
      <c r="H18" s="6">
        <f>100*_xlfn.BETA.INV(0.025, 1+ProvincialPrevalence!G18*ProvincialPrevalence!F18/100, 1+ProvincialPrevalence!G18*(1-ProvincialPrevalence!F18/100))</f>
        <v>3.8660152488604549</v>
      </c>
      <c r="I18" s="6">
        <f>100*_xlfn.BETA.INV(0.975, 1+ProvincialPrevalence!G18*ProvincialPrevalence!F18/100, 1+ProvincialPrevalence!G18*(1-ProvincialPrevalence!F18/100))</f>
        <v>6.4507277443113242</v>
      </c>
      <c r="K18" s="5">
        <f t="shared" si="0"/>
        <v>56.150000000000006</v>
      </c>
      <c r="L18" s="5">
        <f t="shared" si="1"/>
        <v>1048.8499999999999</v>
      </c>
      <c r="M18" s="5"/>
    </row>
    <row r="19" spans="1:13" ht="13">
      <c r="A19" s="1">
        <v>2011</v>
      </c>
      <c r="B19" s="1" t="s">
        <v>56</v>
      </c>
      <c r="C19" s="1" t="s">
        <v>62</v>
      </c>
      <c r="D19" s="1" t="s">
        <v>53</v>
      </c>
      <c r="E19" s="1" t="s">
        <v>58</v>
      </c>
      <c r="F19" s="1">
        <v>9</v>
      </c>
      <c r="G19" s="1">
        <v>1389</v>
      </c>
      <c r="H19" s="6">
        <f>100*_xlfn.BETA.INV(0.025, 1+ProvincialPrevalence!G19*ProvincialPrevalence!F19/100, 1+ProvincialPrevalence!G19*(1-ProvincialPrevalence!F19/100))</f>
        <v>7.6078716539140068</v>
      </c>
      <c r="I19" s="6">
        <f>100*_xlfn.BETA.INV(0.975, 1+ProvincialPrevalence!G19*ProvincialPrevalence!F19/100, 1+ProvincialPrevalence!G19*(1-ProvincialPrevalence!F19/100))</f>
        <v>10.621496192233836</v>
      </c>
      <c r="K19" s="5">
        <f t="shared" si="0"/>
        <v>126.00999999999999</v>
      </c>
      <c r="L19" s="5">
        <f t="shared" si="1"/>
        <v>1264.99</v>
      </c>
      <c r="M19" s="5"/>
    </row>
    <row r="20" spans="1:13" ht="13">
      <c r="A20" s="1">
        <v>2011</v>
      </c>
      <c r="B20" s="1" t="s">
        <v>56</v>
      </c>
      <c r="C20" s="1" t="s">
        <v>63</v>
      </c>
      <c r="D20" s="1" t="s">
        <v>53</v>
      </c>
      <c r="E20" s="1" t="s">
        <v>58</v>
      </c>
      <c r="F20" s="1">
        <v>4.4000000000000004</v>
      </c>
      <c r="G20" s="1">
        <v>1103</v>
      </c>
      <c r="H20" s="6">
        <f>100*_xlfn.BETA.INV(0.025, 1+ProvincialPrevalence!G20*ProvincialPrevalence!F20/100, 1+ProvincialPrevalence!G20*(1-ProvincialPrevalence!F20/100))</f>
        <v>3.3430891755838639</v>
      </c>
      <c r="I20" s="6">
        <f>100*_xlfn.BETA.INV(0.975, 1+ProvincialPrevalence!G20*ProvincialPrevalence!F20/100, 1+ProvincialPrevalence!G20*(1-ProvincialPrevalence!F20/100))</f>
        <v>5.7778500282269274</v>
      </c>
      <c r="K20" s="5">
        <f t="shared" si="0"/>
        <v>49.532000000000004</v>
      </c>
      <c r="L20" s="5">
        <f t="shared" si="1"/>
        <v>1055.4679999999998</v>
      </c>
      <c r="M20" s="5"/>
    </row>
    <row r="21" spans="1:13" ht="13">
      <c r="A21" s="1">
        <v>2011</v>
      </c>
      <c r="B21" s="1" t="s">
        <v>56</v>
      </c>
      <c r="C21" s="1" t="s">
        <v>64</v>
      </c>
      <c r="D21" s="1" t="s">
        <v>53</v>
      </c>
      <c r="E21" s="1" t="s">
        <v>58</v>
      </c>
      <c r="F21" s="1">
        <v>7.5</v>
      </c>
      <c r="G21" s="1">
        <v>1389</v>
      </c>
      <c r="H21" s="6">
        <f>100*_xlfn.BETA.INV(0.025, 1+ProvincialPrevalence!G21*ProvincialPrevalence!F21/100, 1+ProvincialPrevalence!G21*(1-ProvincialPrevalence!F21/100))</f>
        <v>6.2311556257717111</v>
      </c>
      <c r="I21" s="6">
        <f>100*_xlfn.BETA.INV(0.975, 1+ProvincialPrevalence!G21*ProvincialPrevalence!F21/100, 1+ProvincialPrevalence!G21*(1-ProvincialPrevalence!F21/100))</f>
        <v>9.0065906742916368</v>
      </c>
      <c r="K21" s="5">
        <f t="shared" si="0"/>
        <v>105.175</v>
      </c>
      <c r="L21" s="5">
        <f t="shared" si="1"/>
        <v>1285.825</v>
      </c>
      <c r="M21" s="5"/>
    </row>
    <row r="22" spans="1:13" ht="13">
      <c r="A22" s="1">
        <v>2011</v>
      </c>
      <c r="B22" s="1" t="s">
        <v>56</v>
      </c>
      <c r="C22" s="1" t="s">
        <v>59</v>
      </c>
      <c r="D22" s="1" t="s">
        <v>44</v>
      </c>
      <c r="E22" s="1" t="s">
        <v>58</v>
      </c>
      <c r="F22" s="1">
        <v>3.8</v>
      </c>
      <c r="G22" s="1">
        <v>943</v>
      </c>
      <c r="H22" s="6">
        <f>100*_xlfn.BETA.INV(0.025, 1+ProvincialPrevalence!G22*ProvincialPrevalence!F22/100, 1+ProvincialPrevalence!G22*(1-ProvincialPrevalence!F22/100))</f>
        <v>2.7595667783089675</v>
      </c>
      <c r="I22" s="6">
        <f>100*_xlfn.BETA.INV(0.975, 1+ProvincialPrevalence!G22*ProvincialPrevalence!F22/100, 1+ProvincialPrevalence!G22*(1-ProvincialPrevalence!F22/100))</f>
        <v>5.2205060129429715</v>
      </c>
      <c r="K22" s="5">
        <f t="shared" si="0"/>
        <v>36.833999999999996</v>
      </c>
      <c r="L22" s="5">
        <f t="shared" si="1"/>
        <v>908.16599999999994</v>
      </c>
      <c r="M22" s="5"/>
    </row>
    <row r="23" spans="1:13" ht="13">
      <c r="A23" s="1">
        <v>2011</v>
      </c>
      <c r="B23" s="1" t="s">
        <v>56</v>
      </c>
      <c r="C23" s="1" t="s">
        <v>62</v>
      </c>
      <c r="D23" s="1" t="s">
        <v>44</v>
      </c>
      <c r="E23" s="1" t="s">
        <v>58</v>
      </c>
      <c r="F23" s="1">
        <v>6.6</v>
      </c>
      <c r="G23" s="1">
        <v>946</v>
      </c>
      <c r="H23" s="6">
        <f>100*_xlfn.BETA.INV(0.025, 1+ProvincialPrevalence!G23*ProvincialPrevalence!F23/100, 1+ProvincialPrevalence!G23*(1-ProvincialPrevalence!F23/100))</f>
        <v>5.1903520328138715</v>
      </c>
      <c r="I23" s="6">
        <f>100*_xlfn.BETA.INV(0.975, 1+ProvincialPrevalence!G23*ProvincialPrevalence!F23/100, 1+ProvincialPrevalence!G23*(1-ProvincialPrevalence!F23/100))</f>
        <v>8.3657008309324539</v>
      </c>
      <c r="K23" s="5">
        <f t="shared" si="0"/>
        <v>63.436</v>
      </c>
      <c r="L23" s="5">
        <f t="shared" si="1"/>
        <v>884.56399999999996</v>
      </c>
      <c r="M23" s="5"/>
    </row>
    <row r="24" spans="1:13" ht="13">
      <c r="A24" s="1">
        <v>2011</v>
      </c>
      <c r="B24" s="1" t="s">
        <v>56</v>
      </c>
      <c r="C24" s="1" t="s">
        <v>63</v>
      </c>
      <c r="D24" s="1" t="s">
        <v>44</v>
      </c>
      <c r="E24" s="1" t="s">
        <v>58</v>
      </c>
      <c r="F24" s="1">
        <v>3.8</v>
      </c>
      <c r="G24" s="1">
        <v>943</v>
      </c>
      <c r="H24" s="6">
        <f>100*_xlfn.BETA.INV(0.025, 1+ProvincialPrevalence!G24*ProvincialPrevalence!F24/100, 1+ProvincialPrevalence!G24*(1-ProvincialPrevalence!F24/100))</f>
        <v>2.7595667783089675</v>
      </c>
      <c r="I24" s="6">
        <f>100*_xlfn.BETA.INV(0.975, 1+ProvincialPrevalence!G24*ProvincialPrevalence!F24/100, 1+ProvincialPrevalence!G24*(1-ProvincialPrevalence!F24/100))</f>
        <v>5.2205060129429715</v>
      </c>
      <c r="K24" s="5">
        <f t="shared" si="0"/>
        <v>36.833999999999996</v>
      </c>
      <c r="L24" s="5">
        <f t="shared" si="1"/>
        <v>908.16599999999994</v>
      </c>
      <c r="M24" s="5"/>
    </row>
    <row r="25" spans="1:13" ht="13">
      <c r="A25" s="1">
        <v>2011</v>
      </c>
      <c r="B25" s="1" t="s">
        <v>56</v>
      </c>
      <c r="C25" s="1" t="s">
        <v>64</v>
      </c>
      <c r="D25" s="1" t="s">
        <v>44</v>
      </c>
      <c r="E25" s="1" t="s">
        <v>58</v>
      </c>
      <c r="F25" s="1">
        <v>5</v>
      </c>
      <c r="G25" s="1">
        <v>946</v>
      </c>
      <c r="H25" s="6">
        <f>100*_xlfn.BETA.INV(0.025, 1+ProvincialPrevalence!G25*ProvincialPrevalence!F25/100, 1+ProvincialPrevalence!G25*(1-ProvincialPrevalence!F25/100))</f>
        <v>3.7879797768473513</v>
      </c>
      <c r="I25" s="6">
        <f>100*_xlfn.BETA.INV(0.975, 1+ProvincialPrevalence!G25*ProvincialPrevalence!F25/100, 1+ProvincialPrevalence!G25*(1-ProvincialPrevalence!F25/100))</f>
        <v>6.58113504079666</v>
      </c>
      <c r="K25" s="5">
        <f t="shared" si="0"/>
        <v>48.300000000000004</v>
      </c>
      <c r="L25" s="5">
        <f t="shared" si="1"/>
        <v>899.69999999999993</v>
      </c>
      <c r="M25" s="5"/>
    </row>
    <row r="26" spans="1:13" ht="13">
      <c r="A26" s="1">
        <v>2013.5</v>
      </c>
      <c r="B26" s="1" t="s">
        <v>56</v>
      </c>
      <c r="C26" s="1" t="s">
        <v>59</v>
      </c>
      <c r="D26" s="1" t="s">
        <v>53</v>
      </c>
      <c r="E26" s="1" t="s">
        <v>58</v>
      </c>
      <c r="F26" s="1">
        <v>4.92</v>
      </c>
      <c r="G26" s="1">
        <v>10888</v>
      </c>
      <c r="H26" s="6">
        <f>100*_xlfn.BETA.INV(0.025, 1+ProvincialPrevalence!G26*ProvincialPrevalence!F26/100, 1+ProvincialPrevalence!G26*(1-ProvincialPrevalence!F26/100))</f>
        <v>4.529657850613833</v>
      </c>
      <c r="I26" s="6">
        <f>100*_xlfn.BETA.INV(0.975, 1+ProvincialPrevalence!G26*ProvincialPrevalence!F26/100, 1+ProvincialPrevalence!G26*(1-ProvincialPrevalence!F26/100))</f>
        <v>5.3425791192113543</v>
      </c>
      <c r="K26" s="5">
        <f t="shared" si="0"/>
        <v>536.68960000000004</v>
      </c>
      <c r="L26" s="5">
        <f t="shared" si="1"/>
        <v>10353.3104</v>
      </c>
    </row>
    <row r="27" spans="1:13" ht="13">
      <c r="A27" s="1">
        <v>2013.5</v>
      </c>
      <c r="B27" s="1" t="s">
        <v>56</v>
      </c>
      <c r="C27" s="1" t="s">
        <v>62</v>
      </c>
      <c r="D27" s="1" t="s">
        <v>53</v>
      </c>
      <c r="E27" s="1" t="s">
        <v>58</v>
      </c>
      <c r="F27" s="1">
        <v>9.83</v>
      </c>
      <c r="G27" s="1">
        <v>8513</v>
      </c>
      <c r="H27" s="6">
        <f>100*_xlfn.BETA.INV(0.025, 1+ProvincialPrevalence!G27*ProvincialPrevalence!F27/100, 1+ProvincialPrevalence!G27*(1-ProvincialPrevalence!F27/100))</f>
        <v>9.215840091911879</v>
      </c>
      <c r="I27" s="6">
        <f>100*_xlfn.BETA.INV(0.975, 1+ProvincialPrevalence!G27*ProvincialPrevalence!F27/100, 1+ProvincialPrevalence!G27*(1-ProvincialPrevalence!F27/100))</f>
        <v>10.480897956965485</v>
      </c>
      <c r="K27" s="5">
        <f t="shared" si="0"/>
        <v>837.8279</v>
      </c>
      <c r="L27" s="5">
        <f t="shared" si="1"/>
        <v>7677.1720999999998</v>
      </c>
    </row>
    <row r="28" spans="1:13" ht="13">
      <c r="A28" s="1">
        <v>2013.5</v>
      </c>
      <c r="B28" s="1" t="s">
        <v>56</v>
      </c>
      <c r="C28" s="1" t="s">
        <v>60</v>
      </c>
      <c r="D28" s="1" t="s">
        <v>53</v>
      </c>
      <c r="E28" s="1" t="s">
        <v>58</v>
      </c>
      <c r="F28" s="1">
        <v>26.72</v>
      </c>
      <c r="G28" s="1">
        <v>8100</v>
      </c>
      <c r="H28" s="6">
        <f>100*_xlfn.BETA.INV(0.025, 1+ProvincialPrevalence!G28*ProvincialPrevalence!F28/100, 1+ProvincialPrevalence!G28*(1-ProvincialPrevalence!F28/100))</f>
        <v>25.767693737559011</v>
      </c>
      <c r="I28" s="6">
        <f>100*_xlfn.BETA.INV(0.975, 1+ProvincialPrevalence!G28*ProvincialPrevalence!F28/100, 1+ProvincialPrevalence!G28*(1-ProvincialPrevalence!F28/100))</f>
        <v>27.694683068341931</v>
      </c>
      <c r="K28" s="5">
        <f t="shared" si="0"/>
        <v>2165.3200000000002</v>
      </c>
      <c r="L28" s="5">
        <f t="shared" si="1"/>
        <v>5936.68</v>
      </c>
    </row>
    <row r="29" spans="1:13" ht="13">
      <c r="A29" s="1">
        <v>2013.5</v>
      </c>
      <c r="B29" s="1" t="s">
        <v>56</v>
      </c>
      <c r="C29" s="1" t="s">
        <v>63</v>
      </c>
      <c r="D29" s="1" t="s">
        <v>53</v>
      </c>
      <c r="E29" s="1" t="s">
        <v>58</v>
      </c>
      <c r="F29" s="1">
        <v>3.7</v>
      </c>
      <c r="G29" s="1">
        <v>8034</v>
      </c>
      <c r="H29" s="6">
        <f>100*_xlfn.BETA.INV(0.025, 1+ProvincialPrevalence!G29*ProvincialPrevalence!F29/100, 1+ProvincialPrevalence!G29*(1-ProvincialPrevalence!F29/100))</f>
        <v>3.3092522949450855</v>
      </c>
      <c r="I29" s="6">
        <f>100*_xlfn.BETA.INV(0.975, 1+ProvincialPrevalence!G29*ProvincialPrevalence!F29/100, 1+ProvincialPrevalence!G29*(1-ProvincialPrevalence!F29/100))</f>
        <v>4.1356123967083995</v>
      </c>
      <c r="K29" s="5">
        <f t="shared" si="0"/>
        <v>298.25800000000004</v>
      </c>
      <c r="L29" s="5">
        <f t="shared" si="1"/>
        <v>7737.7420000000002</v>
      </c>
    </row>
    <row r="30" spans="1:13" ht="13">
      <c r="A30" s="1">
        <v>2013.5</v>
      </c>
      <c r="B30" s="1" t="s">
        <v>56</v>
      </c>
      <c r="C30" s="1" t="s">
        <v>64</v>
      </c>
      <c r="D30" s="1" t="s">
        <v>53</v>
      </c>
      <c r="E30" s="1" t="s">
        <v>58</v>
      </c>
      <c r="F30" s="1">
        <v>8.7100000000000009</v>
      </c>
      <c r="G30" s="1">
        <v>12013</v>
      </c>
      <c r="H30" s="6">
        <f>100*_xlfn.BETA.INV(0.025, 1+ProvincialPrevalence!G30*ProvincialPrevalence!F30/100, 1+ProvincialPrevalence!G30*(1-ProvincialPrevalence!F30/100))</f>
        <v>8.2190583076936203</v>
      </c>
      <c r="I30" s="6">
        <f>100*_xlfn.BETA.INV(0.975, 1+ProvincialPrevalence!G30*ProvincialPrevalence!F30/100, 1+ProvincialPrevalence!G30*(1-ProvincialPrevalence!F30/100))</f>
        <v>9.2277047784972694</v>
      </c>
      <c r="K30" s="5">
        <f t="shared" si="0"/>
        <v>1047.3323</v>
      </c>
      <c r="L30" s="5">
        <f t="shared" si="1"/>
        <v>10967.6677</v>
      </c>
    </row>
    <row r="31" spans="1:13" ht="13">
      <c r="A31" s="1">
        <v>2013.5</v>
      </c>
      <c r="B31" s="1" t="s">
        <v>56</v>
      </c>
      <c r="C31" s="1" t="s">
        <v>61</v>
      </c>
      <c r="D31" s="1" t="s">
        <v>53</v>
      </c>
      <c r="E31" s="1" t="s">
        <v>58</v>
      </c>
      <c r="F31" s="1">
        <v>25.57</v>
      </c>
      <c r="G31" s="1">
        <v>10542</v>
      </c>
      <c r="H31" s="6">
        <f>100*_xlfn.BETA.INV(0.025, 1+ProvincialPrevalence!G31*ProvincialPrevalence!F31/100, 1+ProvincialPrevalence!G31*(1-ProvincialPrevalence!F31/100))</f>
        <v>24.746344642780336</v>
      </c>
      <c r="I31" s="6">
        <f>100*_xlfn.BETA.INV(0.975, 1+ProvincialPrevalence!G31*ProvincialPrevalence!F31/100, 1+ProvincialPrevalence!G31*(1-ProvincialPrevalence!F31/100))</f>
        <v>26.411699548460575</v>
      </c>
      <c r="K31" s="5">
        <f t="shared" si="0"/>
        <v>2696.5893999999998</v>
      </c>
      <c r="L31" s="5">
        <f t="shared" si="1"/>
        <v>7847.4105999999992</v>
      </c>
    </row>
    <row r="32" spans="1:13" ht="13">
      <c r="A32" s="1">
        <v>2013.5</v>
      </c>
      <c r="B32" s="1" t="s">
        <v>56</v>
      </c>
      <c r="C32" s="1" t="s">
        <v>59</v>
      </c>
      <c r="D32" s="1" t="s">
        <v>44</v>
      </c>
      <c r="E32" s="1" t="s">
        <v>58</v>
      </c>
      <c r="F32" s="1">
        <v>3.26</v>
      </c>
      <c r="G32" s="1">
        <v>8895</v>
      </c>
      <c r="H32" s="6">
        <f>100*_xlfn.BETA.INV(0.025, 1+ProvincialPrevalence!G32*ProvincialPrevalence!F32/100, 1+ProvincialPrevalence!G32*(1-ProvincialPrevalence!F32/100))</f>
        <v>2.9110001109322847</v>
      </c>
      <c r="I32" s="6">
        <f>100*_xlfn.BETA.INV(0.975, 1+ProvincialPrevalence!G32*ProvincialPrevalence!F32/100, 1+ProvincialPrevalence!G32*(1-ProvincialPrevalence!F32/100))</f>
        <v>3.6499082303484864</v>
      </c>
      <c r="K32" s="5">
        <f t="shared" si="0"/>
        <v>290.97699999999998</v>
      </c>
      <c r="L32" s="5">
        <f t="shared" si="1"/>
        <v>8606.023000000001</v>
      </c>
    </row>
    <row r="33" spans="1:12" ht="13">
      <c r="A33" s="1">
        <v>2013.5</v>
      </c>
      <c r="B33" s="1" t="s">
        <v>56</v>
      </c>
      <c r="C33" s="1" t="s">
        <v>62</v>
      </c>
      <c r="D33" s="1" t="s">
        <v>44</v>
      </c>
      <c r="E33" s="1" t="s">
        <v>58</v>
      </c>
      <c r="F33" s="1">
        <v>6.65</v>
      </c>
      <c r="G33" s="1">
        <v>6558</v>
      </c>
      <c r="H33" s="6">
        <f>100*_xlfn.BETA.INV(0.025, 1+ProvincialPrevalence!G33*ProvincialPrevalence!F33/100, 1+ProvincialPrevalence!G33*(1-ProvincialPrevalence!F33/100))</f>
        <v>6.0724095692760374</v>
      </c>
      <c r="I33" s="6">
        <f>100*_xlfn.BETA.INV(0.975, 1+ProvincialPrevalence!G33*ProvincialPrevalence!F33/100, 1+ProvincialPrevalence!G33*(1-ProvincialPrevalence!F33/100))</f>
        <v>7.2790486550829865</v>
      </c>
      <c r="K33" s="5">
        <f t="shared" si="0"/>
        <v>437.10700000000003</v>
      </c>
      <c r="L33" s="5">
        <f t="shared" si="1"/>
        <v>6122.893</v>
      </c>
    </row>
    <row r="34" spans="1:12" ht="13">
      <c r="A34" s="1">
        <v>2013.5</v>
      </c>
      <c r="B34" s="1" t="s">
        <v>56</v>
      </c>
      <c r="C34" s="1" t="s">
        <v>60</v>
      </c>
      <c r="D34" s="1" t="s">
        <v>44</v>
      </c>
      <c r="E34" s="1" t="s">
        <v>58</v>
      </c>
      <c r="F34" s="1">
        <v>16.829999999999998</v>
      </c>
      <c r="G34" s="1">
        <v>6375</v>
      </c>
      <c r="H34" s="6">
        <f>100*_xlfn.BETA.INV(0.025, 1+ProvincialPrevalence!G34*ProvincialPrevalence!F34/100, 1+ProvincialPrevalence!G34*(1-ProvincialPrevalence!F34/100))</f>
        <v>15.931909374212088</v>
      </c>
      <c r="I34" s="6">
        <f>100*_xlfn.BETA.INV(0.975, 1+ProvincialPrevalence!G34*ProvincialPrevalence!F34/100, 1+ProvincialPrevalence!G34*(1-ProvincialPrevalence!F34/100))</f>
        <v>17.768596434428396</v>
      </c>
      <c r="K34" s="5">
        <f t="shared" si="0"/>
        <v>1073.9124999999999</v>
      </c>
      <c r="L34" s="5">
        <f t="shared" si="1"/>
        <v>5303.0874999999996</v>
      </c>
    </row>
    <row r="35" spans="1:12" ht="13">
      <c r="A35" s="1">
        <v>2013.5</v>
      </c>
      <c r="B35" s="1" t="s">
        <v>56</v>
      </c>
      <c r="C35" s="1" t="s">
        <v>63</v>
      </c>
      <c r="D35" s="1" t="s">
        <v>44</v>
      </c>
      <c r="E35" s="1" t="s">
        <v>58</v>
      </c>
      <c r="F35" s="1">
        <v>2.4</v>
      </c>
      <c r="G35" s="1">
        <v>6532</v>
      </c>
      <c r="H35" s="6">
        <f>100*_xlfn.BETA.INV(0.025, 1+ProvincialPrevalence!G35*ProvincialPrevalence!F35/100, 1+ProvincialPrevalence!G35*(1-ProvincialPrevalence!F35/100))</f>
        <v>2.0563969112499763</v>
      </c>
      <c r="I35" s="6">
        <f>100*_xlfn.BETA.INV(0.975, 1+ProvincialPrevalence!G35*ProvincialPrevalence!F35/100, 1+ProvincialPrevalence!G35*(1-ProvincialPrevalence!F35/100))</f>
        <v>2.800322996621285</v>
      </c>
      <c r="K35" s="5">
        <f t="shared" si="0"/>
        <v>157.768</v>
      </c>
      <c r="L35" s="5">
        <f t="shared" si="1"/>
        <v>6376.232</v>
      </c>
    </row>
    <row r="36" spans="1:12" ht="13">
      <c r="A36" s="1">
        <v>2013.5</v>
      </c>
      <c r="B36" s="1" t="s">
        <v>56</v>
      </c>
      <c r="C36" s="1" t="s">
        <v>64</v>
      </c>
      <c r="D36" s="1" t="s">
        <v>44</v>
      </c>
      <c r="E36" s="1" t="s">
        <v>58</v>
      </c>
      <c r="F36" s="1">
        <v>5.49</v>
      </c>
      <c r="G36" s="1">
        <v>9750</v>
      </c>
      <c r="H36" s="6">
        <f>100*_xlfn.BETA.INV(0.025, 1+ProvincialPrevalence!G36*ProvincialPrevalence!F36/100, 1+ProvincialPrevalence!G36*(1-ProvincialPrevalence!F36/100))</f>
        <v>5.0554213359071092</v>
      </c>
      <c r="I36" s="6">
        <f>100*_xlfn.BETA.INV(0.975, 1+ProvincialPrevalence!G36*ProvincialPrevalence!F36/100, 1+ProvincialPrevalence!G36*(1-ProvincialPrevalence!F36/100))</f>
        <v>5.9601219961999519</v>
      </c>
      <c r="K36" s="5">
        <f t="shared" si="0"/>
        <v>536.27500000000009</v>
      </c>
      <c r="L36" s="5">
        <f t="shared" si="1"/>
        <v>9215.7250000000004</v>
      </c>
    </row>
    <row r="37" spans="1:12" ht="13">
      <c r="A37" s="1">
        <v>2013.5</v>
      </c>
      <c r="B37" s="1" t="s">
        <v>56</v>
      </c>
      <c r="C37" s="1" t="s">
        <v>61</v>
      </c>
      <c r="D37" s="1" t="s">
        <v>44</v>
      </c>
      <c r="E37" s="1" t="s">
        <v>58</v>
      </c>
      <c r="F37" s="1">
        <v>14.12</v>
      </c>
      <c r="G37" s="1">
        <v>8157</v>
      </c>
      <c r="H37" s="6">
        <f>100*_xlfn.BETA.INV(0.025, 1+ProvincialPrevalence!G37*ProvincialPrevalence!F37/100, 1+ProvincialPrevalence!G37*(1-ProvincialPrevalence!F37/100))</f>
        <v>13.381425166935937</v>
      </c>
      <c r="I37" s="6">
        <f>100*_xlfn.BETA.INV(0.975, 1+ProvincialPrevalence!G37*ProvincialPrevalence!F37/100, 1+ProvincialPrevalence!G37*(1-ProvincialPrevalence!F37/100))</f>
        <v>14.89282142714643</v>
      </c>
      <c r="K37" s="5">
        <f t="shared" si="0"/>
        <v>1152.7683999999999</v>
      </c>
      <c r="L37" s="5">
        <f t="shared" si="1"/>
        <v>7006.2316000000001</v>
      </c>
    </row>
    <row r="39" spans="1:12">
      <c r="A39">
        <v>2003</v>
      </c>
      <c r="B39" t="s">
        <v>15</v>
      </c>
      <c r="C39" t="s">
        <v>73</v>
      </c>
      <c r="D39" t="s">
        <v>44</v>
      </c>
      <c r="E39" t="s">
        <v>58</v>
      </c>
      <c r="F39">
        <v>10.9716048</v>
      </c>
    </row>
    <row r="40" spans="1:12">
      <c r="A40">
        <v>2007</v>
      </c>
      <c r="B40" t="s">
        <v>74</v>
      </c>
      <c r="C40" t="s">
        <v>73</v>
      </c>
      <c r="D40" t="s">
        <v>44</v>
      </c>
      <c r="E40" t="s">
        <v>58</v>
      </c>
      <c r="F40">
        <v>25.139321500000001</v>
      </c>
    </row>
    <row r="41" spans="1:12">
      <c r="A41">
        <v>2009</v>
      </c>
      <c r="B41" t="s">
        <v>15</v>
      </c>
      <c r="C41" t="s">
        <v>73</v>
      </c>
      <c r="D41" t="s">
        <v>44</v>
      </c>
      <c r="E41" t="s">
        <v>58</v>
      </c>
      <c r="F41">
        <v>17.366570200000002</v>
      </c>
    </row>
    <row r="42" spans="1:12">
      <c r="A42">
        <v>2012</v>
      </c>
      <c r="B42" t="s">
        <v>74</v>
      </c>
      <c r="C42" t="s">
        <v>73</v>
      </c>
      <c r="D42" t="s">
        <v>44</v>
      </c>
      <c r="E42" t="s">
        <v>58</v>
      </c>
      <c r="F42">
        <v>22.170241399999998</v>
      </c>
    </row>
    <row r="43" spans="1:12" ht="13">
      <c r="A43">
        <v>2013.5</v>
      </c>
      <c r="B43" s="1" t="s">
        <v>56</v>
      </c>
      <c r="C43" s="1" t="s">
        <v>60</v>
      </c>
      <c r="D43" s="1" t="s">
        <v>44</v>
      </c>
      <c r="E43" s="1" t="s">
        <v>58</v>
      </c>
      <c r="F43" s="1">
        <v>16.829999999999998</v>
      </c>
      <c r="G43">
        <v>14.12</v>
      </c>
    </row>
    <row r="44" spans="1:12">
      <c r="A44">
        <v>2003</v>
      </c>
      <c r="B44" t="s">
        <v>15</v>
      </c>
      <c r="C44" t="s">
        <v>73</v>
      </c>
      <c r="D44" t="s">
        <v>53</v>
      </c>
      <c r="E44" t="s">
        <v>58</v>
      </c>
      <c r="F44">
        <v>24.5767855</v>
      </c>
    </row>
    <row r="45" spans="1:12">
      <c r="A45">
        <v>2007</v>
      </c>
      <c r="B45" t="s">
        <v>74</v>
      </c>
      <c r="C45" t="s">
        <v>73</v>
      </c>
      <c r="D45" t="s">
        <v>53</v>
      </c>
      <c r="E45" t="s">
        <v>58</v>
      </c>
      <c r="F45">
        <v>32.590556300000003</v>
      </c>
    </row>
    <row r="46" spans="1:12">
      <c r="A46">
        <v>2009</v>
      </c>
      <c r="B46" t="s">
        <v>15</v>
      </c>
      <c r="C46" t="s">
        <v>73</v>
      </c>
      <c r="D46" t="s">
        <v>53</v>
      </c>
      <c r="E46" t="s">
        <v>58</v>
      </c>
      <c r="F46">
        <v>25.2430518</v>
      </c>
    </row>
    <row r="47" spans="1:12">
      <c r="A47">
        <v>2012</v>
      </c>
      <c r="B47" t="s">
        <v>74</v>
      </c>
      <c r="C47" t="s">
        <v>73</v>
      </c>
      <c r="D47" t="s">
        <v>53</v>
      </c>
      <c r="E47" t="s">
        <v>58</v>
      </c>
      <c r="F47">
        <v>27.868742999999998</v>
      </c>
    </row>
    <row r="48" spans="1:12" ht="13">
      <c r="A48" s="1">
        <v>2013.5</v>
      </c>
      <c r="B48" s="1" t="s">
        <v>56</v>
      </c>
      <c r="C48" s="1" t="s">
        <v>60</v>
      </c>
      <c r="D48" s="1" t="s">
        <v>53</v>
      </c>
      <c r="E48" s="1" t="s">
        <v>58</v>
      </c>
      <c r="F48" s="1">
        <v>26.72</v>
      </c>
      <c r="G48">
        <v>25.57</v>
      </c>
    </row>
    <row r="49" spans="1:6" ht="13">
      <c r="A49" s="1">
        <v>2004</v>
      </c>
      <c r="B49" s="1" t="s">
        <v>56</v>
      </c>
      <c r="C49" s="1" t="s">
        <v>59</v>
      </c>
      <c r="D49" s="1" t="s">
        <v>53</v>
      </c>
      <c r="E49" s="1" t="s">
        <v>58</v>
      </c>
      <c r="F49" s="1">
        <v>6.2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2" sqref="A2:A25"/>
    </sheetView>
  </sheetViews>
  <sheetFormatPr baseColWidth="10" defaultColWidth="11.5" defaultRowHeight="12" x14ac:dyDescent="0"/>
  <cols>
    <col min="2" max="2" width="12.33203125" customWidth="1"/>
  </cols>
  <sheetData>
    <row r="1" spans="1:8" ht="13">
      <c r="A1" t="s">
        <v>34</v>
      </c>
      <c r="B1" s="1" t="s">
        <v>33</v>
      </c>
      <c r="C1" s="1" t="s">
        <v>57</v>
      </c>
      <c r="D1" s="1" t="s">
        <v>35</v>
      </c>
      <c r="E1" s="1" t="s">
        <v>36</v>
      </c>
      <c r="F1" s="1" t="s">
        <v>13</v>
      </c>
      <c r="G1" s="1" t="s">
        <v>40</v>
      </c>
      <c r="H1" s="1" t="s">
        <v>41</v>
      </c>
    </row>
    <row r="2" spans="1:8" ht="13">
      <c r="A2" t="s">
        <v>56</v>
      </c>
      <c r="B2" s="1">
        <v>2002</v>
      </c>
      <c r="C2" s="1" t="s">
        <v>59</v>
      </c>
      <c r="D2" s="1" t="s">
        <v>44</v>
      </c>
      <c r="E2" s="1" t="s">
        <v>66</v>
      </c>
      <c r="F2" s="11">
        <v>0</v>
      </c>
      <c r="G2" s="3">
        <f t="shared" ref="G2:G13" si="0">F2-2*SQRT(F2)</f>
        <v>0</v>
      </c>
      <c r="H2" s="3">
        <f t="shared" ref="H2:H13" si="1">F2+2*SQRT(F2)</f>
        <v>0</v>
      </c>
    </row>
    <row r="3" spans="1:8" ht="13">
      <c r="A3" t="s">
        <v>56</v>
      </c>
      <c r="B3" s="1">
        <v>2002</v>
      </c>
      <c r="C3" s="1" t="s">
        <v>62</v>
      </c>
      <c r="D3" s="1" t="s">
        <v>44</v>
      </c>
      <c r="E3" s="1" t="s">
        <v>66</v>
      </c>
      <c r="F3" s="11">
        <v>0</v>
      </c>
      <c r="G3" s="3">
        <f t="shared" si="0"/>
        <v>0</v>
      </c>
      <c r="H3" s="3">
        <f t="shared" si="1"/>
        <v>0</v>
      </c>
    </row>
    <row r="4" spans="1:8" ht="13">
      <c r="A4" t="s">
        <v>56</v>
      </c>
      <c r="B4" s="1">
        <v>2002</v>
      </c>
      <c r="C4" s="1" t="s">
        <v>60</v>
      </c>
      <c r="D4" s="1" t="s">
        <v>44</v>
      </c>
      <c r="E4" s="1" t="s">
        <v>66</v>
      </c>
      <c r="F4" s="11">
        <v>0</v>
      </c>
      <c r="G4" s="3">
        <f t="shared" si="0"/>
        <v>0</v>
      </c>
      <c r="H4" s="3">
        <f t="shared" si="1"/>
        <v>0</v>
      </c>
    </row>
    <row r="5" spans="1:8" ht="13">
      <c r="A5" t="s">
        <v>56</v>
      </c>
      <c r="B5" s="1">
        <v>2002</v>
      </c>
      <c r="C5" s="1" t="s">
        <v>63</v>
      </c>
      <c r="D5" s="1" t="s">
        <v>44</v>
      </c>
      <c r="E5" s="1" t="s">
        <v>66</v>
      </c>
      <c r="F5" s="11">
        <v>0</v>
      </c>
      <c r="G5" s="3">
        <f t="shared" si="0"/>
        <v>0</v>
      </c>
      <c r="H5" s="3">
        <f t="shared" si="1"/>
        <v>0</v>
      </c>
    </row>
    <row r="6" spans="1:8" ht="13">
      <c r="A6" t="s">
        <v>56</v>
      </c>
      <c r="B6" s="1">
        <v>2002</v>
      </c>
      <c r="C6" s="1" t="s">
        <v>64</v>
      </c>
      <c r="D6" s="1" t="s">
        <v>44</v>
      </c>
      <c r="E6" s="1" t="s">
        <v>66</v>
      </c>
      <c r="F6" s="11">
        <v>0</v>
      </c>
      <c r="G6" s="3">
        <f t="shared" si="0"/>
        <v>0</v>
      </c>
      <c r="H6" s="3">
        <f t="shared" si="1"/>
        <v>0</v>
      </c>
    </row>
    <row r="7" spans="1:8" ht="13">
      <c r="A7" t="s">
        <v>56</v>
      </c>
      <c r="B7" s="1">
        <v>2002</v>
      </c>
      <c r="C7" s="1" t="s">
        <v>61</v>
      </c>
      <c r="D7" s="1" t="s">
        <v>44</v>
      </c>
      <c r="E7" s="1" t="s">
        <v>66</v>
      </c>
      <c r="F7" s="11">
        <v>0</v>
      </c>
      <c r="G7" s="3">
        <f t="shared" si="0"/>
        <v>0</v>
      </c>
      <c r="H7" s="3">
        <f t="shared" si="1"/>
        <v>0</v>
      </c>
    </row>
    <row r="8" spans="1:8" ht="13">
      <c r="A8" t="s">
        <v>56</v>
      </c>
      <c r="B8" s="1">
        <v>2002</v>
      </c>
      <c r="C8" s="1" t="s">
        <v>59</v>
      </c>
      <c r="D8" s="1" t="s">
        <v>53</v>
      </c>
      <c r="E8" s="1" t="s">
        <v>66</v>
      </c>
      <c r="F8" s="11">
        <v>0</v>
      </c>
      <c r="G8" s="3">
        <f t="shared" si="0"/>
        <v>0</v>
      </c>
      <c r="H8" s="3">
        <f t="shared" si="1"/>
        <v>0</v>
      </c>
    </row>
    <row r="9" spans="1:8" ht="13">
      <c r="A9" t="s">
        <v>56</v>
      </c>
      <c r="B9" s="1">
        <v>2002</v>
      </c>
      <c r="C9" s="1" t="s">
        <v>62</v>
      </c>
      <c r="D9" s="1" t="s">
        <v>53</v>
      </c>
      <c r="E9" s="1" t="s">
        <v>66</v>
      </c>
      <c r="F9" s="11">
        <v>0</v>
      </c>
      <c r="G9" s="3">
        <f t="shared" si="0"/>
        <v>0</v>
      </c>
      <c r="H9" s="3">
        <f t="shared" si="1"/>
        <v>0</v>
      </c>
    </row>
    <row r="10" spans="1:8" ht="13">
      <c r="A10" t="s">
        <v>56</v>
      </c>
      <c r="B10" s="1">
        <v>2002</v>
      </c>
      <c r="C10" s="1" t="s">
        <v>60</v>
      </c>
      <c r="D10" s="1" t="s">
        <v>53</v>
      </c>
      <c r="E10" s="1" t="s">
        <v>66</v>
      </c>
      <c r="F10" s="11">
        <v>0</v>
      </c>
      <c r="G10" s="3">
        <f t="shared" si="0"/>
        <v>0</v>
      </c>
      <c r="H10" s="3">
        <f t="shared" si="1"/>
        <v>0</v>
      </c>
    </row>
    <row r="11" spans="1:8" ht="13">
      <c r="A11" t="s">
        <v>56</v>
      </c>
      <c r="B11" s="1">
        <v>2002</v>
      </c>
      <c r="C11" s="1" t="s">
        <v>63</v>
      </c>
      <c r="D11" s="1" t="s">
        <v>53</v>
      </c>
      <c r="E11" s="1" t="s">
        <v>66</v>
      </c>
      <c r="F11" s="11">
        <v>0</v>
      </c>
      <c r="G11" s="3">
        <f t="shared" si="0"/>
        <v>0</v>
      </c>
      <c r="H11" s="3">
        <f t="shared" si="1"/>
        <v>0</v>
      </c>
    </row>
    <row r="12" spans="1:8" ht="13">
      <c r="A12" t="s">
        <v>56</v>
      </c>
      <c r="B12" s="1">
        <v>2002</v>
      </c>
      <c r="C12" s="1" t="s">
        <v>64</v>
      </c>
      <c r="D12" s="1" t="s">
        <v>53</v>
      </c>
      <c r="E12" s="1" t="s">
        <v>66</v>
      </c>
      <c r="F12" s="11">
        <v>0</v>
      </c>
      <c r="G12" s="3">
        <f t="shared" si="0"/>
        <v>0</v>
      </c>
      <c r="H12" s="3">
        <f t="shared" si="1"/>
        <v>0</v>
      </c>
    </row>
    <row r="13" spans="1:8" ht="13">
      <c r="A13" t="s">
        <v>56</v>
      </c>
      <c r="B13" s="1">
        <v>2002</v>
      </c>
      <c r="C13" s="1" t="s">
        <v>61</v>
      </c>
      <c r="D13" s="1" t="s">
        <v>53</v>
      </c>
      <c r="E13" s="1" t="s">
        <v>66</v>
      </c>
      <c r="F13" s="11">
        <v>0</v>
      </c>
      <c r="G13" s="3">
        <f t="shared" si="0"/>
        <v>0</v>
      </c>
      <c r="H13" s="3">
        <f t="shared" si="1"/>
        <v>0</v>
      </c>
    </row>
    <row r="14" spans="1:8" ht="13">
      <c r="A14" t="s">
        <v>56</v>
      </c>
      <c r="B14" s="1">
        <v>2013.5</v>
      </c>
      <c r="C14" s="1" t="s">
        <v>59</v>
      </c>
      <c r="D14" s="1" t="s">
        <v>44</v>
      </c>
      <c r="E14" s="1" t="s">
        <v>66</v>
      </c>
      <c r="F14" s="11">
        <v>155</v>
      </c>
      <c r="G14" s="3">
        <f t="shared" ref="G14:G25" si="2">F14-2*SQRT(F14)</f>
        <v>130.10020080402253</v>
      </c>
      <c r="H14" s="3">
        <f t="shared" ref="H14:H25" si="3">F14+2*SQRT(F14)</f>
        <v>179.89979919597747</v>
      </c>
    </row>
    <row r="15" spans="1:8" ht="13">
      <c r="A15" t="s">
        <v>56</v>
      </c>
      <c r="B15" s="1">
        <v>2013.5</v>
      </c>
      <c r="C15" s="1" t="s">
        <v>62</v>
      </c>
      <c r="D15" s="1" t="s">
        <v>44</v>
      </c>
      <c r="E15" s="1" t="s">
        <v>66</v>
      </c>
      <c r="F15" s="11">
        <v>213</v>
      </c>
      <c r="G15" s="3">
        <f t="shared" si="2"/>
        <v>183.81096096134715</v>
      </c>
      <c r="H15" s="3">
        <f t="shared" si="3"/>
        <v>242.18903903865285</v>
      </c>
    </row>
    <row r="16" spans="1:8" ht="13">
      <c r="A16" t="s">
        <v>56</v>
      </c>
      <c r="B16" s="1">
        <v>2013.5</v>
      </c>
      <c r="C16" s="1" t="s">
        <v>60</v>
      </c>
      <c r="D16" s="1" t="s">
        <v>44</v>
      </c>
      <c r="E16" s="1" t="s">
        <v>66</v>
      </c>
      <c r="F16" s="11">
        <v>805</v>
      </c>
      <c r="G16" s="3">
        <f t="shared" si="2"/>
        <v>748.25495616355556</v>
      </c>
      <c r="H16" s="3">
        <f t="shared" si="3"/>
        <v>861.74504383644444</v>
      </c>
    </row>
    <row r="17" spans="1:8" ht="13">
      <c r="A17" t="s">
        <v>56</v>
      </c>
      <c r="B17" s="1">
        <v>2013.5</v>
      </c>
      <c r="C17" s="1" t="s">
        <v>63</v>
      </c>
      <c r="D17" s="1" t="s">
        <v>44</v>
      </c>
      <c r="E17" s="1" t="s">
        <v>66</v>
      </c>
      <c r="F17" s="11">
        <v>63</v>
      </c>
      <c r="G17" s="3">
        <f t="shared" si="2"/>
        <v>47.125492133612454</v>
      </c>
      <c r="H17" s="3">
        <f t="shared" si="3"/>
        <v>78.874507866387546</v>
      </c>
    </row>
    <row r="18" spans="1:8" ht="13">
      <c r="A18" t="s">
        <v>56</v>
      </c>
      <c r="B18" s="1">
        <v>2013.5</v>
      </c>
      <c r="C18" s="1" t="s">
        <v>64</v>
      </c>
      <c r="D18" s="1" t="s">
        <v>44</v>
      </c>
      <c r="E18" s="1" t="s">
        <v>66</v>
      </c>
      <c r="F18" s="11">
        <v>248</v>
      </c>
      <c r="G18" s="3">
        <f t="shared" si="2"/>
        <v>216.50396850395276</v>
      </c>
      <c r="H18" s="3">
        <f t="shared" si="3"/>
        <v>279.49603149604724</v>
      </c>
    </row>
    <row r="19" spans="1:8" ht="13">
      <c r="A19" t="s">
        <v>56</v>
      </c>
      <c r="B19" s="1">
        <v>2013.5</v>
      </c>
      <c r="C19" s="1" t="s">
        <v>61</v>
      </c>
      <c r="D19" s="1" t="s">
        <v>44</v>
      </c>
      <c r="E19" s="1" t="s">
        <v>66</v>
      </c>
      <c r="F19" s="11">
        <v>908</v>
      </c>
      <c r="G19" s="3">
        <f t="shared" si="2"/>
        <v>847.73392330672255</v>
      </c>
      <c r="H19" s="3">
        <f t="shared" si="3"/>
        <v>968.26607669327745</v>
      </c>
    </row>
    <row r="20" spans="1:8" ht="13">
      <c r="A20" t="s">
        <v>56</v>
      </c>
      <c r="B20" s="1">
        <v>2013.5</v>
      </c>
      <c r="C20" s="1" t="s">
        <v>59</v>
      </c>
      <c r="D20" s="1" t="s">
        <v>53</v>
      </c>
      <c r="E20" s="1" t="s">
        <v>66</v>
      </c>
      <c r="F20" s="11">
        <v>321</v>
      </c>
      <c r="G20" s="3">
        <f t="shared" si="2"/>
        <v>285.16705426566216</v>
      </c>
      <c r="H20" s="3">
        <f t="shared" si="3"/>
        <v>356.83294573433784</v>
      </c>
    </row>
    <row r="21" spans="1:8" ht="13">
      <c r="A21" t="s">
        <v>56</v>
      </c>
      <c r="B21" s="1">
        <v>2013.5</v>
      </c>
      <c r="C21" s="1" t="s">
        <v>62</v>
      </c>
      <c r="D21" s="1" t="s">
        <v>53</v>
      </c>
      <c r="E21" s="1" t="s">
        <v>66</v>
      </c>
      <c r="F21" s="11">
        <v>458</v>
      </c>
      <c r="G21" s="3">
        <f t="shared" si="2"/>
        <v>415.19813088193462</v>
      </c>
      <c r="H21" s="3">
        <f t="shared" si="3"/>
        <v>500.80186911806538</v>
      </c>
    </row>
    <row r="22" spans="1:8" ht="13">
      <c r="A22" t="s">
        <v>56</v>
      </c>
      <c r="B22" s="1">
        <v>2013.5</v>
      </c>
      <c r="C22" s="1" t="s">
        <v>60</v>
      </c>
      <c r="D22" s="1" t="s">
        <v>53</v>
      </c>
      <c r="E22" s="1" t="s">
        <v>66</v>
      </c>
      <c r="F22" s="11">
        <v>1438</v>
      </c>
      <c r="G22" s="3">
        <f t="shared" si="2"/>
        <v>1362.1580590965659</v>
      </c>
      <c r="H22" s="3">
        <f t="shared" si="3"/>
        <v>1513.8419409034341</v>
      </c>
    </row>
    <row r="23" spans="1:8" ht="13">
      <c r="A23" t="s">
        <v>56</v>
      </c>
      <c r="B23" s="1">
        <v>2013.5</v>
      </c>
      <c r="C23" s="1" t="s">
        <v>63</v>
      </c>
      <c r="D23" s="1" t="s">
        <v>53</v>
      </c>
      <c r="E23" s="1" t="s">
        <v>66</v>
      </c>
      <c r="F23" s="11">
        <v>179</v>
      </c>
      <c r="G23" s="3">
        <f t="shared" si="2"/>
        <v>152.24182367948069</v>
      </c>
      <c r="H23" s="3">
        <f t="shared" si="3"/>
        <v>205.75817632051931</v>
      </c>
    </row>
    <row r="24" spans="1:8" ht="13">
      <c r="A24" t="s">
        <v>56</v>
      </c>
      <c r="B24" s="1">
        <v>2013.5</v>
      </c>
      <c r="C24" s="1" t="s">
        <v>64</v>
      </c>
      <c r="D24" s="1" t="s">
        <v>53</v>
      </c>
      <c r="E24" s="1" t="s">
        <v>66</v>
      </c>
      <c r="F24" s="11">
        <v>607</v>
      </c>
      <c r="G24" s="3">
        <f t="shared" si="2"/>
        <v>557.72526002098027</v>
      </c>
      <c r="H24" s="3">
        <f t="shared" si="3"/>
        <v>656.27473997901973</v>
      </c>
    </row>
    <row r="25" spans="1:8" ht="13">
      <c r="A25" t="s">
        <v>56</v>
      </c>
      <c r="B25" s="1">
        <v>2013.5</v>
      </c>
      <c r="C25" s="1" t="s">
        <v>61</v>
      </c>
      <c r="D25" s="1" t="s">
        <v>53</v>
      </c>
      <c r="E25" s="1" t="s">
        <v>66</v>
      </c>
      <c r="F25" s="12">
        <v>1807</v>
      </c>
      <c r="G25" s="3">
        <f t="shared" si="2"/>
        <v>1721.982354772671</v>
      </c>
      <c r="H25" s="3">
        <f t="shared" si="3"/>
        <v>1892.017645227329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"/>
  <sheetViews>
    <sheetView workbookViewId="0">
      <selection activeCell="A2" sqref="A2"/>
    </sheetView>
  </sheetViews>
  <sheetFormatPr baseColWidth="10" defaultColWidth="11.5" defaultRowHeight="12" x14ac:dyDescent="0"/>
  <sheetData>
    <row r="1" spans="1:5" ht="13">
      <c r="A1" s="1" t="s">
        <v>33</v>
      </c>
      <c r="B1" s="1" t="s">
        <v>57</v>
      </c>
      <c r="C1" s="1" t="s">
        <v>35</v>
      </c>
      <c r="D1" s="1" t="s">
        <v>36</v>
      </c>
      <c r="E1" t="s">
        <v>29</v>
      </c>
    </row>
    <row r="2" spans="1:5">
      <c r="A2">
        <v>2013.5</v>
      </c>
      <c r="B2" t="s">
        <v>59</v>
      </c>
      <c r="C2" t="s">
        <v>44</v>
      </c>
      <c r="D2" t="s">
        <v>70</v>
      </c>
      <c r="E2">
        <v>5790</v>
      </c>
    </row>
    <row r="3" spans="1:5">
      <c r="A3">
        <v>2013.5</v>
      </c>
      <c r="B3" t="s">
        <v>59</v>
      </c>
      <c r="C3" t="s">
        <v>44</v>
      </c>
      <c r="D3" t="s">
        <v>67</v>
      </c>
      <c r="E3">
        <v>5324</v>
      </c>
    </row>
    <row r="4" spans="1:5">
      <c r="A4">
        <v>2013.5</v>
      </c>
      <c r="B4" t="s">
        <v>59</v>
      </c>
      <c r="C4" t="s">
        <v>44</v>
      </c>
      <c r="D4" t="s">
        <v>68</v>
      </c>
      <c r="E4">
        <v>4891</v>
      </c>
    </row>
    <row r="5" spans="1:5">
      <c r="A5">
        <v>2013.5</v>
      </c>
      <c r="B5" t="s">
        <v>59</v>
      </c>
      <c r="C5" t="s">
        <v>44</v>
      </c>
      <c r="D5" t="s">
        <v>45</v>
      </c>
      <c r="E5">
        <v>2893</v>
      </c>
    </row>
    <row r="6" spans="1:5">
      <c r="A6">
        <v>2013.5</v>
      </c>
      <c r="B6" t="s">
        <v>59</v>
      </c>
      <c r="C6" t="s">
        <v>44</v>
      </c>
      <c r="D6" t="s">
        <v>46</v>
      </c>
      <c r="E6">
        <v>1856</v>
      </c>
    </row>
    <row r="7" spans="1:5">
      <c r="A7">
        <v>2013.5</v>
      </c>
      <c r="B7" t="s">
        <v>59</v>
      </c>
      <c r="C7" t="s">
        <v>44</v>
      </c>
      <c r="D7" t="s">
        <v>47</v>
      </c>
      <c r="E7">
        <v>1385</v>
      </c>
    </row>
    <row r="8" spans="1:5">
      <c r="A8">
        <v>2013.5</v>
      </c>
      <c r="B8" t="s">
        <v>59</v>
      </c>
      <c r="C8" t="s">
        <v>44</v>
      </c>
      <c r="D8" t="s">
        <v>48</v>
      </c>
      <c r="E8">
        <v>1162</v>
      </c>
    </row>
    <row r="9" spans="1:5">
      <c r="A9">
        <v>2013.5</v>
      </c>
      <c r="B9" t="s">
        <v>59</v>
      </c>
      <c r="C9" t="s">
        <v>44</v>
      </c>
      <c r="D9" t="s">
        <v>49</v>
      </c>
      <c r="E9">
        <v>1017</v>
      </c>
    </row>
    <row r="10" spans="1:5">
      <c r="A10">
        <v>2013.5</v>
      </c>
      <c r="B10" t="s">
        <v>59</v>
      </c>
      <c r="C10" t="s">
        <v>44</v>
      </c>
      <c r="D10" t="s">
        <v>50</v>
      </c>
      <c r="E10">
        <v>991</v>
      </c>
    </row>
    <row r="11" spans="1:5">
      <c r="A11">
        <v>2013.5</v>
      </c>
      <c r="B11" t="s">
        <v>59</v>
      </c>
      <c r="C11" t="s">
        <v>44</v>
      </c>
      <c r="D11" t="s">
        <v>51</v>
      </c>
      <c r="E11">
        <v>706</v>
      </c>
    </row>
    <row r="12" spans="1:5">
      <c r="A12">
        <v>2013.5</v>
      </c>
      <c r="B12" t="s">
        <v>59</v>
      </c>
      <c r="C12" t="s">
        <v>44</v>
      </c>
      <c r="D12" t="s">
        <v>52</v>
      </c>
      <c r="E12">
        <v>680</v>
      </c>
    </row>
    <row r="13" spans="1:5">
      <c r="A13">
        <v>2013.5</v>
      </c>
      <c r="B13" t="s">
        <v>59</v>
      </c>
      <c r="C13" t="s">
        <v>44</v>
      </c>
      <c r="D13" t="s">
        <v>54</v>
      </c>
      <c r="E13">
        <v>383</v>
      </c>
    </row>
    <row r="14" spans="1:5">
      <c r="A14">
        <v>2013.5</v>
      </c>
      <c r="B14" t="s">
        <v>59</v>
      </c>
      <c r="C14" t="s">
        <v>44</v>
      </c>
      <c r="D14" t="s">
        <v>55</v>
      </c>
      <c r="E14">
        <v>384</v>
      </c>
    </row>
    <row r="15" spans="1:5">
      <c r="A15">
        <v>2013.5</v>
      </c>
      <c r="B15" t="s">
        <v>59</v>
      </c>
      <c r="C15" t="s">
        <v>44</v>
      </c>
      <c r="D15" t="s">
        <v>69</v>
      </c>
      <c r="E15">
        <v>915</v>
      </c>
    </row>
    <row r="16" spans="1:5">
      <c r="A16">
        <v>2013.5</v>
      </c>
      <c r="B16" t="s">
        <v>59</v>
      </c>
      <c r="C16" t="s">
        <v>53</v>
      </c>
      <c r="D16" t="s">
        <v>70</v>
      </c>
      <c r="E16">
        <v>5860</v>
      </c>
    </row>
    <row r="17" spans="1:5">
      <c r="A17">
        <v>2013.5</v>
      </c>
      <c r="B17" t="s">
        <v>59</v>
      </c>
      <c r="C17" t="s">
        <v>53</v>
      </c>
      <c r="D17" t="s">
        <v>67</v>
      </c>
      <c r="E17">
        <v>5358</v>
      </c>
    </row>
    <row r="18" spans="1:5">
      <c r="A18">
        <v>2013.5</v>
      </c>
      <c r="B18" t="s">
        <v>59</v>
      </c>
      <c r="C18" t="s">
        <v>53</v>
      </c>
      <c r="D18" t="s">
        <v>68</v>
      </c>
      <c r="E18">
        <v>4936</v>
      </c>
    </row>
    <row r="19" spans="1:5">
      <c r="A19">
        <v>2013.5</v>
      </c>
      <c r="B19" t="s">
        <v>59</v>
      </c>
      <c r="C19" t="s">
        <v>53</v>
      </c>
      <c r="D19" t="s">
        <v>45</v>
      </c>
      <c r="E19">
        <v>2755</v>
      </c>
    </row>
    <row r="20" spans="1:5">
      <c r="A20">
        <v>2013.5</v>
      </c>
      <c r="B20" t="s">
        <v>59</v>
      </c>
      <c r="C20" t="s">
        <v>53</v>
      </c>
      <c r="D20" t="s">
        <v>46</v>
      </c>
      <c r="E20">
        <v>2271</v>
      </c>
    </row>
    <row r="21" spans="1:5">
      <c r="A21">
        <v>2013.5</v>
      </c>
      <c r="B21" t="s">
        <v>59</v>
      </c>
      <c r="C21" t="s">
        <v>53</v>
      </c>
      <c r="D21" t="s">
        <v>47</v>
      </c>
      <c r="E21">
        <v>1720</v>
      </c>
    </row>
    <row r="22" spans="1:5">
      <c r="A22">
        <v>2013.5</v>
      </c>
      <c r="B22" t="s">
        <v>59</v>
      </c>
      <c r="C22" t="s">
        <v>53</v>
      </c>
      <c r="D22" t="s">
        <v>48</v>
      </c>
      <c r="E22">
        <v>1518</v>
      </c>
    </row>
    <row r="23" spans="1:5">
      <c r="A23">
        <v>2013.5</v>
      </c>
      <c r="B23" t="s">
        <v>59</v>
      </c>
      <c r="C23" t="s">
        <v>53</v>
      </c>
      <c r="D23" t="s">
        <v>49</v>
      </c>
      <c r="E23">
        <v>1250</v>
      </c>
    </row>
    <row r="24" spans="1:5">
      <c r="A24">
        <v>2013.5</v>
      </c>
      <c r="B24" t="s">
        <v>59</v>
      </c>
      <c r="C24" t="s">
        <v>53</v>
      </c>
      <c r="D24" t="s">
        <v>50</v>
      </c>
      <c r="E24">
        <v>1099</v>
      </c>
    </row>
    <row r="25" spans="1:5">
      <c r="A25">
        <v>2013.5</v>
      </c>
      <c r="B25" t="s">
        <v>59</v>
      </c>
      <c r="C25" t="s">
        <v>53</v>
      </c>
      <c r="D25" t="s">
        <v>51</v>
      </c>
      <c r="E25">
        <v>846</v>
      </c>
    </row>
    <row r="26" spans="1:5">
      <c r="A26">
        <v>2013.5</v>
      </c>
      <c r="B26" t="s">
        <v>59</v>
      </c>
      <c r="C26" t="s">
        <v>53</v>
      </c>
      <c r="D26" t="s">
        <v>52</v>
      </c>
      <c r="E26">
        <v>894</v>
      </c>
    </row>
    <row r="27" spans="1:5">
      <c r="A27">
        <v>2013.5</v>
      </c>
      <c r="B27" t="s">
        <v>59</v>
      </c>
      <c r="C27" t="s">
        <v>53</v>
      </c>
      <c r="D27" t="s">
        <v>54</v>
      </c>
      <c r="E27">
        <v>384</v>
      </c>
    </row>
    <row r="28" spans="1:5">
      <c r="A28">
        <v>2013.5</v>
      </c>
      <c r="B28" t="s">
        <v>59</v>
      </c>
      <c r="C28" t="s">
        <v>53</v>
      </c>
      <c r="D28" t="s">
        <v>55</v>
      </c>
      <c r="E28">
        <v>470</v>
      </c>
    </row>
    <row r="29" spans="1:5">
      <c r="A29">
        <v>2013.5</v>
      </c>
      <c r="B29" t="s">
        <v>59</v>
      </c>
      <c r="C29" t="s">
        <v>53</v>
      </c>
      <c r="D29" t="s">
        <v>69</v>
      </c>
      <c r="E29">
        <v>1128</v>
      </c>
    </row>
    <row r="30" spans="1:5">
      <c r="A30">
        <v>2013.5</v>
      </c>
      <c r="B30" t="s">
        <v>62</v>
      </c>
      <c r="C30" t="s">
        <v>44</v>
      </c>
      <c r="D30" t="s">
        <v>70</v>
      </c>
      <c r="E30">
        <v>3698</v>
      </c>
    </row>
    <row r="31" spans="1:5">
      <c r="A31">
        <v>2013.5</v>
      </c>
      <c r="B31" t="s">
        <v>62</v>
      </c>
      <c r="C31" t="s">
        <v>44</v>
      </c>
      <c r="D31" t="s">
        <v>67</v>
      </c>
      <c r="E31">
        <v>3549</v>
      </c>
    </row>
    <row r="32" spans="1:5">
      <c r="A32">
        <v>2013.5</v>
      </c>
      <c r="B32" t="s">
        <v>62</v>
      </c>
      <c r="C32" t="s">
        <v>44</v>
      </c>
      <c r="D32" t="s">
        <v>68</v>
      </c>
      <c r="E32">
        <v>3244</v>
      </c>
    </row>
    <row r="33" spans="1:5">
      <c r="A33">
        <v>2013.5</v>
      </c>
      <c r="B33" t="s">
        <v>62</v>
      </c>
      <c r="C33" t="s">
        <v>44</v>
      </c>
      <c r="D33" t="s">
        <v>45</v>
      </c>
      <c r="E33">
        <v>1754</v>
      </c>
    </row>
    <row r="34" spans="1:5">
      <c r="A34">
        <v>2013.5</v>
      </c>
      <c r="B34" t="s">
        <v>62</v>
      </c>
      <c r="C34" t="s">
        <v>44</v>
      </c>
      <c r="D34" t="s">
        <v>46</v>
      </c>
      <c r="E34">
        <v>1379</v>
      </c>
    </row>
    <row r="35" spans="1:5">
      <c r="A35">
        <v>2013.5</v>
      </c>
      <c r="B35" t="s">
        <v>62</v>
      </c>
      <c r="C35" t="s">
        <v>44</v>
      </c>
      <c r="D35" t="s">
        <v>47</v>
      </c>
      <c r="E35">
        <v>1207</v>
      </c>
    </row>
    <row r="36" spans="1:5">
      <c r="A36">
        <v>2013.5</v>
      </c>
      <c r="B36" t="s">
        <v>62</v>
      </c>
      <c r="C36" t="s">
        <v>44</v>
      </c>
      <c r="D36" t="s">
        <v>48</v>
      </c>
      <c r="E36">
        <v>1132</v>
      </c>
    </row>
    <row r="37" spans="1:5">
      <c r="A37">
        <v>2013.5</v>
      </c>
      <c r="B37" t="s">
        <v>62</v>
      </c>
      <c r="C37" t="s">
        <v>44</v>
      </c>
      <c r="D37" t="s">
        <v>49</v>
      </c>
      <c r="E37">
        <v>957</v>
      </c>
    </row>
    <row r="38" spans="1:5">
      <c r="A38">
        <v>2013.5</v>
      </c>
      <c r="B38" t="s">
        <v>62</v>
      </c>
      <c r="C38" t="s">
        <v>44</v>
      </c>
      <c r="D38" t="s">
        <v>50</v>
      </c>
      <c r="E38">
        <v>806</v>
      </c>
    </row>
    <row r="39" spans="1:5">
      <c r="A39">
        <v>2013.5</v>
      </c>
      <c r="B39" t="s">
        <v>62</v>
      </c>
      <c r="C39" t="s">
        <v>44</v>
      </c>
      <c r="D39" t="s">
        <v>51</v>
      </c>
      <c r="E39">
        <v>599</v>
      </c>
    </row>
    <row r="40" spans="1:5">
      <c r="A40">
        <v>2013.5</v>
      </c>
      <c r="B40" t="s">
        <v>62</v>
      </c>
      <c r="C40" t="s">
        <v>44</v>
      </c>
      <c r="D40" t="s">
        <v>52</v>
      </c>
      <c r="E40">
        <v>529</v>
      </c>
    </row>
    <row r="41" spans="1:5">
      <c r="A41">
        <v>2013.5</v>
      </c>
      <c r="B41" t="s">
        <v>62</v>
      </c>
      <c r="C41" t="s">
        <v>44</v>
      </c>
      <c r="D41" t="s">
        <v>54</v>
      </c>
      <c r="E41">
        <v>372</v>
      </c>
    </row>
    <row r="42" spans="1:5">
      <c r="A42">
        <v>2013.5</v>
      </c>
      <c r="B42" t="s">
        <v>62</v>
      </c>
      <c r="C42" t="s">
        <v>44</v>
      </c>
      <c r="D42" t="s">
        <v>55</v>
      </c>
      <c r="E42">
        <v>305</v>
      </c>
    </row>
    <row r="43" spans="1:5">
      <c r="A43">
        <v>2013.5</v>
      </c>
      <c r="B43" t="s">
        <v>62</v>
      </c>
      <c r="C43" t="s">
        <v>44</v>
      </c>
      <c r="D43" t="s">
        <v>69</v>
      </c>
      <c r="E43">
        <v>717</v>
      </c>
    </row>
    <row r="44" spans="1:5">
      <c r="A44">
        <v>2013.5</v>
      </c>
      <c r="B44" t="s">
        <v>62</v>
      </c>
      <c r="C44" t="s">
        <v>53</v>
      </c>
      <c r="D44" t="s">
        <v>70</v>
      </c>
      <c r="E44">
        <v>3747</v>
      </c>
    </row>
    <row r="45" spans="1:5">
      <c r="A45">
        <v>2013.5</v>
      </c>
      <c r="B45" t="s">
        <v>62</v>
      </c>
      <c r="C45" t="s">
        <v>53</v>
      </c>
      <c r="D45" t="s">
        <v>67</v>
      </c>
      <c r="E45">
        <v>3652</v>
      </c>
    </row>
    <row r="46" spans="1:5">
      <c r="A46">
        <v>2013.5</v>
      </c>
      <c r="B46" t="s">
        <v>62</v>
      </c>
      <c r="C46" t="s">
        <v>53</v>
      </c>
      <c r="D46" t="s">
        <v>68</v>
      </c>
      <c r="E46">
        <v>3342</v>
      </c>
    </row>
    <row r="47" spans="1:5">
      <c r="A47">
        <v>2013.5</v>
      </c>
      <c r="B47" t="s">
        <v>62</v>
      </c>
      <c r="C47" t="s">
        <v>53</v>
      </c>
      <c r="D47" t="s">
        <v>45</v>
      </c>
      <c r="E47">
        <v>1877</v>
      </c>
    </row>
    <row r="48" spans="1:5">
      <c r="A48">
        <v>2013.5</v>
      </c>
      <c r="B48" t="s">
        <v>62</v>
      </c>
      <c r="C48" t="s">
        <v>53</v>
      </c>
      <c r="D48" t="s">
        <v>46</v>
      </c>
      <c r="E48">
        <v>1757</v>
      </c>
    </row>
    <row r="49" spans="1:5">
      <c r="A49">
        <v>2013.5</v>
      </c>
      <c r="B49" t="s">
        <v>62</v>
      </c>
      <c r="C49" t="s">
        <v>53</v>
      </c>
      <c r="D49" t="s">
        <v>47</v>
      </c>
      <c r="E49">
        <v>1590</v>
      </c>
    </row>
    <row r="50" spans="1:5">
      <c r="A50">
        <v>2013.5</v>
      </c>
      <c r="B50" t="s">
        <v>62</v>
      </c>
      <c r="C50" t="s">
        <v>53</v>
      </c>
      <c r="D50" t="s">
        <v>48</v>
      </c>
      <c r="E50">
        <v>1368</v>
      </c>
    </row>
    <row r="51" spans="1:5">
      <c r="A51">
        <v>2013.5</v>
      </c>
      <c r="B51" t="s">
        <v>62</v>
      </c>
      <c r="C51" t="s">
        <v>53</v>
      </c>
      <c r="D51" t="s">
        <v>49</v>
      </c>
      <c r="E51">
        <v>999</v>
      </c>
    </row>
    <row r="52" spans="1:5">
      <c r="A52">
        <v>2013.5</v>
      </c>
      <c r="B52" t="s">
        <v>62</v>
      </c>
      <c r="C52" t="s">
        <v>53</v>
      </c>
      <c r="D52" t="s">
        <v>50</v>
      </c>
      <c r="E52">
        <v>947</v>
      </c>
    </row>
    <row r="53" spans="1:5">
      <c r="A53">
        <v>2013.5</v>
      </c>
      <c r="B53" t="s">
        <v>62</v>
      </c>
      <c r="C53" t="s">
        <v>53</v>
      </c>
      <c r="D53" t="s">
        <v>51</v>
      </c>
      <c r="E53">
        <v>699</v>
      </c>
    </row>
    <row r="54" spans="1:5">
      <c r="A54">
        <v>2013.5</v>
      </c>
      <c r="B54" t="s">
        <v>62</v>
      </c>
      <c r="C54" t="s">
        <v>53</v>
      </c>
      <c r="D54" t="s">
        <v>52</v>
      </c>
      <c r="E54">
        <v>654</v>
      </c>
    </row>
    <row r="55" spans="1:5">
      <c r="A55">
        <v>2013.5</v>
      </c>
      <c r="B55" t="s">
        <v>62</v>
      </c>
      <c r="C55" t="s">
        <v>53</v>
      </c>
      <c r="D55" t="s">
        <v>54</v>
      </c>
      <c r="E55">
        <v>447</v>
      </c>
    </row>
    <row r="56" spans="1:5">
      <c r="A56">
        <v>2013.5</v>
      </c>
      <c r="B56" t="s">
        <v>62</v>
      </c>
      <c r="C56" t="s">
        <v>53</v>
      </c>
      <c r="D56" t="s">
        <v>55</v>
      </c>
      <c r="E56">
        <v>404</v>
      </c>
    </row>
    <row r="57" spans="1:5">
      <c r="A57">
        <v>2013.5</v>
      </c>
      <c r="B57" t="s">
        <v>62</v>
      </c>
      <c r="C57" t="s">
        <v>53</v>
      </c>
      <c r="D57" t="s">
        <v>69</v>
      </c>
      <c r="E57">
        <v>910</v>
      </c>
    </row>
    <row r="58" spans="1:5">
      <c r="A58">
        <v>2013.5</v>
      </c>
      <c r="B58" t="s">
        <v>60</v>
      </c>
      <c r="C58" t="s">
        <v>44</v>
      </c>
      <c r="D58" t="s">
        <v>70</v>
      </c>
      <c r="E58">
        <v>3558</v>
      </c>
    </row>
    <row r="59" spans="1:5">
      <c r="A59">
        <v>2013.5</v>
      </c>
      <c r="B59" t="s">
        <v>60</v>
      </c>
      <c r="C59" t="s">
        <v>44</v>
      </c>
      <c r="D59" t="s">
        <v>67</v>
      </c>
      <c r="E59">
        <v>4087</v>
      </c>
    </row>
    <row r="60" spans="1:5">
      <c r="A60">
        <v>2013.5</v>
      </c>
      <c r="B60" t="s">
        <v>60</v>
      </c>
      <c r="C60" t="s">
        <v>44</v>
      </c>
      <c r="D60" t="s">
        <v>68</v>
      </c>
      <c r="E60">
        <v>3335</v>
      </c>
    </row>
    <row r="61" spans="1:5">
      <c r="A61">
        <v>2013.5</v>
      </c>
      <c r="B61" t="s">
        <v>60</v>
      </c>
      <c r="C61" t="s">
        <v>44</v>
      </c>
      <c r="D61" t="s">
        <v>45</v>
      </c>
      <c r="E61">
        <v>2021</v>
      </c>
    </row>
    <row r="62" spans="1:5">
      <c r="A62">
        <v>2013.5</v>
      </c>
      <c r="B62" t="s">
        <v>60</v>
      </c>
      <c r="C62" t="s">
        <v>44</v>
      </c>
      <c r="D62" t="s">
        <v>46</v>
      </c>
      <c r="E62">
        <v>1173</v>
      </c>
    </row>
    <row r="63" spans="1:5">
      <c r="A63">
        <v>2013.5</v>
      </c>
      <c r="B63" t="s">
        <v>60</v>
      </c>
      <c r="C63" t="s">
        <v>44</v>
      </c>
      <c r="D63" t="s">
        <v>47</v>
      </c>
      <c r="E63">
        <v>1297</v>
      </c>
    </row>
    <row r="64" spans="1:5">
      <c r="A64">
        <v>2013.5</v>
      </c>
      <c r="B64" t="s">
        <v>60</v>
      </c>
      <c r="C64" t="s">
        <v>44</v>
      </c>
      <c r="D64" t="s">
        <v>48</v>
      </c>
      <c r="E64">
        <v>1146</v>
      </c>
    </row>
    <row r="65" spans="1:5">
      <c r="A65">
        <v>2013.5</v>
      </c>
      <c r="B65" t="s">
        <v>60</v>
      </c>
      <c r="C65" t="s">
        <v>44</v>
      </c>
      <c r="D65" t="s">
        <v>49</v>
      </c>
      <c r="E65">
        <v>896</v>
      </c>
    </row>
    <row r="66" spans="1:5">
      <c r="A66">
        <v>2013.5</v>
      </c>
      <c r="B66" t="s">
        <v>60</v>
      </c>
      <c r="C66" t="s">
        <v>44</v>
      </c>
      <c r="D66" t="s">
        <v>50</v>
      </c>
      <c r="E66">
        <v>613</v>
      </c>
    </row>
    <row r="67" spans="1:5">
      <c r="A67">
        <v>2013.5</v>
      </c>
      <c r="B67" t="s">
        <v>60</v>
      </c>
      <c r="C67" t="s">
        <v>44</v>
      </c>
      <c r="D67" t="s">
        <v>51</v>
      </c>
      <c r="E67">
        <v>407</v>
      </c>
    </row>
    <row r="68" spans="1:5">
      <c r="A68">
        <v>2013.5</v>
      </c>
      <c r="B68" t="s">
        <v>60</v>
      </c>
      <c r="C68" t="s">
        <v>44</v>
      </c>
      <c r="D68" t="s">
        <v>52</v>
      </c>
      <c r="E68">
        <v>437</v>
      </c>
    </row>
    <row r="69" spans="1:5">
      <c r="A69">
        <v>2013.5</v>
      </c>
      <c r="B69" t="s">
        <v>60</v>
      </c>
      <c r="C69" t="s">
        <v>44</v>
      </c>
      <c r="D69" t="s">
        <v>54</v>
      </c>
      <c r="E69">
        <v>325</v>
      </c>
    </row>
    <row r="70" spans="1:5">
      <c r="A70">
        <v>2013.5</v>
      </c>
      <c r="B70" t="s">
        <v>60</v>
      </c>
      <c r="C70" t="s">
        <v>44</v>
      </c>
      <c r="D70" t="s">
        <v>55</v>
      </c>
      <c r="E70">
        <v>329</v>
      </c>
    </row>
    <row r="71" spans="1:5">
      <c r="A71">
        <v>2013.5</v>
      </c>
      <c r="B71" t="s">
        <v>60</v>
      </c>
      <c r="C71" t="s">
        <v>44</v>
      </c>
      <c r="D71" t="s">
        <v>69</v>
      </c>
      <c r="E71">
        <v>668</v>
      </c>
    </row>
    <row r="72" spans="1:5">
      <c r="A72">
        <v>2013.5</v>
      </c>
      <c r="B72" t="s">
        <v>60</v>
      </c>
      <c r="C72" t="s">
        <v>53</v>
      </c>
      <c r="D72" t="s">
        <v>70</v>
      </c>
      <c r="E72">
        <v>3637</v>
      </c>
    </row>
    <row r="73" spans="1:5">
      <c r="A73">
        <v>2013.5</v>
      </c>
      <c r="B73" t="s">
        <v>60</v>
      </c>
      <c r="C73" t="s">
        <v>53</v>
      </c>
      <c r="D73" t="s">
        <v>67</v>
      </c>
      <c r="E73">
        <v>4094</v>
      </c>
    </row>
    <row r="74" spans="1:5">
      <c r="A74">
        <v>2013.5</v>
      </c>
      <c r="B74" t="s">
        <v>60</v>
      </c>
      <c r="C74" t="s">
        <v>53</v>
      </c>
      <c r="D74" t="s">
        <v>68</v>
      </c>
      <c r="E74">
        <v>3135</v>
      </c>
    </row>
    <row r="75" spans="1:5">
      <c r="A75">
        <v>2013.5</v>
      </c>
      <c r="B75" t="s">
        <v>60</v>
      </c>
      <c r="C75" t="s">
        <v>53</v>
      </c>
      <c r="D75" t="s">
        <v>45</v>
      </c>
      <c r="E75">
        <v>1789</v>
      </c>
    </row>
    <row r="76" spans="1:5">
      <c r="A76">
        <v>2013.5</v>
      </c>
      <c r="B76" t="s">
        <v>60</v>
      </c>
      <c r="C76" t="s">
        <v>53</v>
      </c>
      <c r="D76" t="s">
        <v>46</v>
      </c>
      <c r="E76">
        <v>1720</v>
      </c>
    </row>
    <row r="77" spans="1:5">
      <c r="A77">
        <v>2013.5</v>
      </c>
      <c r="B77" t="s">
        <v>60</v>
      </c>
      <c r="C77" t="s">
        <v>53</v>
      </c>
      <c r="D77" t="s">
        <v>47</v>
      </c>
      <c r="E77">
        <v>1876</v>
      </c>
    </row>
    <row r="78" spans="1:5">
      <c r="A78">
        <v>2013.5</v>
      </c>
      <c r="B78" t="s">
        <v>60</v>
      </c>
      <c r="C78" t="s">
        <v>53</v>
      </c>
      <c r="D78" t="s">
        <v>48</v>
      </c>
      <c r="E78">
        <v>1179</v>
      </c>
    </row>
    <row r="79" spans="1:5">
      <c r="A79">
        <v>2013.5</v>
      </c>
      <c r="B79" t="s">
        <v>60</v>
      </c>
      <c r="C79" t="s">
        <v>53</v>
      </c>
      <c r="D79" t="s">
        <v>49</v>
      </c>
      <c r="E79">
        <v>1008</v>
      </c>
    </row>
    <row r="80" spans="1:5">
      <c r="A80">
        <v>2013.5</v>
      </c>
      <c r="B80" t="s">
        <v>60</v>
      </c>
      <c r="C80" t="s">
        <v>53</v>
      </c>
      <c r="D80" t="s">
        <v>50</v>
      </c>
      <c r="E80">
        <v>824</v>
      </c>
    </row>
    <row r="81" spans="1:5">
      <c r="A81">
        <v>2013.5</v>
      </c>
      <c r="B81" t="s">
        <v>60</v>
      </c>
      <c r="C81" t="s">
        <v>53</v>
      </c>
      <c r="D81" t="s">
        <v>51</v>
      </c>
      <c r="E81">
        <v>619</v>
      </c>
    </row>
    <row r="82" spans="1:5">
      <c r="A82">
        <v>2013.5</v>
      </c>
      <c r="B82" t="s">
        <v>60</v>
      </c>
      <c r="C82" t="s">
        <v>53</v>
      </c>
      <c r="D82" t="s">
        <v>52</v>
      </c>
      <c r="E82">
        <v>649</v>
      </c>
    </row>
    <row r="83" spans="1:5">
      <c r="A83">
        <v>2013.5</v>
      </c>
      <c r="B83" t="s">
        <v>60</v>
      </c>
      <c r="C83" t="s">
        <v>53</v>
      </c>
      <c r="D83" t="s">
        <v>54</v>
      </c>
      <c r="E83">
        <v>548</v>
      </c>
    </row>
    <row r="84" spans="1:5">
      <c r="A84">
        <v>2013.5</v>
      </c>
      <c r="B84" t="s">
        <v>60</v>
      </c>
      <c r="C84" t="s">
        <v>53</v>
      </c>
      <c r="D84" t="s">
        <v>55</v>
      </c>
      <c r="E84">
        <v>475</v>
      </c>
    </row>
    <row r="85" spans="1:5">
      <c r="A85">
        <v>2013.5</v>
      </c>
      <c r="B85" t="s">
        <v>60</v>
      </c>
      <c r="C85" t="s">
        <v>53</v>
      </c>
      <c r="D85" t="s">
        <v>69</v>
      </c>
      <c r="E85">
        <v>979</v>
      </c>
    </row>
    <row r="86" spans="1:5">
      <c r="A86">
        <v>2013.5</v>
      </c>
      <c r="B86" t="s">
        <v>63</v>
      </c>
      <c r="C86" t="s">
        <v>44</v>
      </c>
      <c r="D86" t="s">
        <v>70</v>
      </c>
      <c r="E86">
        <v>4347</v>
      </c>
    </row>
    <row r="87" spans="1:5">
      <c r="A87">
        <v>2013.5</v>
      </c>
      <c r="B87" t="s">
        <v>63</v>
      </c>
      <c r="C87" t="s">
        <v>44</v>
      </c>
      <c r="D87" t="s">
        <v>67</v>
      </c>
      <c r="E87">
        <v>4076</v>
      </c>
    </row>
    <row r="88" spans="1:5">
      <c r="A88">
        <v>2013.5</v>
      </c>
      <c r="B88" t="s">
        <v>63</v>
      </c>
      <c r="C88" t="s">
        <v>44</v>
      </c>
      <c r="D88" t="s">
        <v>68</v>
      </c>
      <c r="E88">
        <v>3621</v>
      </c>
    </row>
    <row r="89" spans="1:5">
      <c r="A89">
        <v>2013.5</v>
      </c>
      <c r="B89" t="s">
        <v>63</v>
      </c>
      <c r="C89" t="s">
        <v>44</v>
      </c>
      <c r="D89" t="s">
        <v>45</v>
      </c>
      <c r="E89">
        <v>2132</v>
      </c>
    </row>
    <row r="90" spans="1:5">
      <c r="A90">
        <v>2013.5</v>
      </c>
      <c r="B90" t="s">
        <v>63</v>
      </c>
      <c r="C90" t="s">
        <v>44</v>
      </c>
      <c r="D90" t="s">
        <v>46</v>
      </c>
      <c r="E90">
        <v>1538</v>
      </c>
    </row>
    <row r="91" spans="1:5">
      <c r="A91">
        <v>2013.5</v>
      </c>
      <c r="B91" t="s">
        <v>63</v>
      </c>
      <c r="C91" t="s">
        <v>44</v>
      </c>
      <c r="D91" t="s">
        <v>47</v>
      </c>
      <c r="E91">
        <v>1033</v>
      </c>
    </row>
    <row r="92" spans="1:5">
      <c r="A92">
        <v>2013.5</v>
      </c>
      <c r="B92" t="s">
        <v>63</v>
      </c>
      <c r="C92" t="s">
        <v>44</v>
      </c>
      <c r="D92" t="s">
        <v>48</v>
      </c>
      <c r="E92">
        <v>841</v>
      </c>
    </row>
    <row r="93" spans="1:5">
      <c r="A93">
        <v>2013.5</v>
      </c>
      <c r="B93" t="s">
        <v>63</v>
      </c>
      <c r="C93" t="s">
        <v>44</v>
      </c>
      <c r="D93" t="s">
        <v>49</v>
      </c>
      <c r="E93">
        <v>705</v>
      </c>
    </row>
    <row r="94" spans="1:5">
      <c r="A94">
        <v>2013.5</v>
      </c>
      <c r="B94" t="s">
        <v>63</v>
      </c>
      <c r="C94" t="s">
        <v>44</v>
      </c>
      <c r="D94" t="s">
        <v>50</v>
      </c>
      <c r="E94">
        <v>668</v>
      </c>
    </row>
    <row r="95" spans="1:5">
      <c r="A95">
        <v>2013.5</v>
      </c>
      <c r="B95" t="s">
        <v>63</v>
      </c>
      <c r="C95" t="s">
        <v>44</v>
      </c>
      <c r="D95" t="s">
        <v>51</v>
      </c>
      <c r="E95">
        <v>510</v>
      </c>
    </row>
    <row r="96" spans="1:5">
      <c r="A96">
        <v>2013.5</v>
      </c>
      <c r="B96" t="s">
        <v>63</v>
      </c>
      <c r="C96" t="s">
        <v>44</v>
      </c>
      <c r="D96" t="s">
        <v>52</v>
      </c>
      <c r="E96">
        <v>467</v>
      </c>
    </row>
    <row r="97" spans="1:5">
      <c r="A97">
        <v>2013.5</v>
      </c>
      <c r="B97" t="s">
        <v>63</v>
      </c>
      <c r="C97" t="s">
        <v>44</v>
      </c>
      <c r="D97" t="s">
        <v>54</v>
      </c>
      <c r="E97">
        <v>279</v>
      </c>
    </row>
    <row r="98" spans="1:5">
      <c r="A98">
        <v>2013.5</v>
      </c>
      <c r="B98" t="s">
        <v>63</v>
      </c>
      <c r="C98" t="s">
        <v>44</v>
      </c>
      <c r="D98" t="s">
        <v>55</v>
      </c>
      <c r="E98">
        <v>256</v>
      </c>
    </row>
    <row r="99" spans="1:5">
      <c r="A99">
        <v>2013.5</v>
      </c>
      <c r="B99" t="s">
        <v>63</v>
      </c>
      <c r="C99" t="s">
        <v>44</v>
      </c>
      <c r="D99" t="s">
        <v>69</v>
      </c>
      <c r="E99">
        <v>599</v>
      </c>
    </row>
    <row r="100" spans="1:5">
      <c r="A100">
        <v>2013.5</v>
      </c>
      <c r="B100" t="s">
        <v>63</v>
      </c>
      <c r="C100" t="s">
        <v>53</v>
      </c>
      <c r="D100" t="s">
        <v>70</v>
      </c>
      <c r="E100">
        <v>4505</v>
      </c>
    </row>
    <row r="101" spans="1:5">
      <c r="A101">
        <v>2013.5</v>
      </c>
      <c r="B101" t="s">
        <v>63</v>
      </c>
      <c r="C101" t="s">
        <v>53</v>
      </c>
      <c r="D101" t="s">
        <v>67</v>
      </c>
      <c r="E101">
        <v>4167</v>
      </c>
    </row>
    <row r="102" spans="1:5">
      <c r="A102">
        <v>2013.5</v>
      </c>
      <c r="B102" t="s">
        <v>63</v>
      </c>
      <c r="C102" t="s">
        <v>53</v>
      </c>
      <c r="D102" t="s">
        <v>68</v>
      </c>
      <c r="E102">
        <v>3685</v>
      </c>
    </row>
    <row r="103" spans="1:5">
      <c r="A103">
        <v>2013.5</v>
      </c>
      <c r="B103" t="s">
        <v>63</v>
      </c>
      <c r="C103" t="s">
        <v>53</v>
      </c>
      <c r="D103" t="s">
        <v>45</v>
      </c>
      <c r="E103">
        <v>2198</v>
      </c>
    </row>
    <row r="104" spans="1:5">
      <c r="A104">
        <v>2013.5</v>
      </c>
      <c r="B104" t="s">
        <v>63</v>
      </c>
      <c r="C104" t="s">
        <v>53</v>
      </c>
      <c r="D104" t="s">
        <v>46</v>
      </c>
      <c r="E104">
        <v>1845</v>
      </c>
    </row>
    <row r="105" spans="1:5">
      <c r="A105">
        <v>2013.5</v>
      </c>
      <c r="B105" t="s">
        <v>63</v>
      </c>
      <c r="C105" t="s">
        <v>53</v>
      </c>
      <c r="D105" t="s">
        <v>47</v>
      </c>
      <c r="E105">
        <v>1239</v>
      </c>
    </row>
    <row r="106" spans="1:5">
      <c r="A106">
        <v>2013.5</v>
      </c>
      <c r="B106" t="s">
        <v>63</v>
      </c>
      <c r="C106" t="s">
        <v>53</v>
      </c>
      <c r="D106" t="s">
        <v>48</v>
      </c>
      <c r="E106">
        <v>1099</v>
      </c>
    </row>
    <row r="107" spans="1:5">
      <c r="A107">
        <v>2013.5</v>
      </c>
      <c r="B107" t="s">
        <v>63</v>
      </c>
      <c r="C107" t="s">
        <v>53</v>
      </c>
      <c r="D107" t="s">
        <v>49</v>
      </c>
      <c r="E107">
        <v>913</v>
      </c>
    </row>
    <row r="108" spans="1:5">
      <c r="A108">
        <v>2013.5</v>
      </c>
      <c r="B108" t="s">
        <v>63</v>
      </c>
      <c r="C108" t="s">
        <v>53</v>
      </c>
      <c r="D108" t="s">
        <v>50</v>
      </c>
      <c r="E108">
        <v>834</v>
      </c>
    </row>
    <row r="109" spans="1:5">
      <c r="A109">
        <v>2013.5</v>
      </c>
      <c r="B109" t="s">
        <v>63</v>
      </c>
      <c r="C109" t="s">
        <v>53</v>
      </c>
      <c r="D109" t="s">
        <v>51</v>
      </c>
      <c r="E109">
        <v>553</v>
      </c>
    </row>
    <row r="110" spans="1:5">
      <c r="A110">
        <v>2013.5</v>
      </c>
      <c r="B110" t="s">
        <v>63</v>
      </c>
      <c r="C110" t="s">
        <v>53</v>
      </c>
      <c r="D110" t="s">
        <v>52</v>
      </c>
      <c r="E110">
        <v>656</v>
      </c>
    </row>
    <row r="111" spans="1:5">
      <c r="A111">
        <v>2013.5</v>
      </c>
      <c r="B111" t="s">
        <v>63</v>
      </c>
      <c r="C111" t="s">
        <v>53</v>
      </c>
      <c r="D111" t="s">
        <v>54</v>
      </c>
      <c r="E111">
        <v>301</v>
      </c>
    </row>
    <row r="112" spans="1:5">
      <c r="A112">
        <v>2013.5</v>
      </c>
      <c r="B112" t="s">
        <v>63</v>
      </c>
      <c r="C112" t="s">
        <v>53</v>
      </c>
      <c r="D112" t="s">
        <v>55</v>
      </c>
      <c r="E112">
        <v>326</v>
      </c>
    </row>
    <row r="113" spans="1:5">
      <c r="A113">
        <v>2013.5</v>
      </c>
      <c r="B113" t="s">
        <v>63</v>
      </c>
      <c r="C113" t="s">
        <v>53</v>
      </c>
      <c r="D113" t="s">
        <v>69</v>
      </c>
      <c r="E113">
        <v>860</v>
      </c>
    </row>
    <row r="114" spans="1:5">
      <c r="A114">
        <v>2013.5</v>
      </c>
      <c r="B114" t="s">
        <v>64</v>
      </c>
      <c r="C114" t="s">
        <v>44</v>
      </c>
      <c r="D114" t="s">
        <v>70</v>
      </c>
      <c r="E114">
        <v>4987</v>
      </c>
    </row>
    <row r="115" spans="1:5">
      <c r="A115">
        <v>2013.5</v>
      </c>
      <c r="B115" t="s">
        <v>64</v>
      </c>
      <c r="C115" t="s">
        <v>44</v>
      </c>
      <c r="D115" t="s">
        <v>67</v>
      </c>
      <c r="E115">
        <v>4547</v>
      </c>
    </row>
    <row r="116" spans="1:5">
      <c r="A116">
        <v>2013.5</v>
      </c>
      <c r="B116" t="s">
        <v>64</v>
      </c>
      <c r="C116" t="s">
        <v>44</v>
      </c>
      <c r="D116" t="s">
        <v>68</v>
      </c>
      <c r="E116">
        <v>4480</v>
      </c>
    </row>
    <row r="117" spans="1:5">
      <c r="A117">
        <v>2013.5</v>
      </c>
      <c r="B117" t="s">
        <v>64</v>
      </c>
      <c r="C117" t="s">
        <v>44</v>
      </c>
      <c r="D117" t="s">
        <v>45</v>
      </c>
      <c r="E117">
        <v>2814</v>
      </c>
    </row>
    <row r="118" spans="1:5">
      <c r="A118">
        <v>2013.5</v>
      </c>
      <c r="B118" t="s">
        <v>64</v>
      </c>
      <c r="C118" t="s">
        <v>44</v>
      </c>
      <c r="D118" t="s">
        <v>46</v>
      </c>
      <c r="E118">
        <v>2080</v>
      </c>
    </row>
    <row r="119" spans="1:5">
      <c r="A119">
        <v>2013.5</v>
      </c>
      <c r="B119" t="s">
        <v>64</v>
      </c>
      <c r="C119" t="s">
        <v>44</v>
      </c>
      <c r="D119" t="s">
        <v>47</v>
      </c>
      <c r="E119">
        <v>1750</v>
      </c>
    </row>
    <row r="120" spans="1:5">
      <c r="A120">
        <v>2013.5</v>
      </c>
      <c r="B120" t="s">
        <v>64</v>
      </c>
      <c r="C120" t="s">
        <v>44</v>
      </c>
      <c r="D120" t="s">
        <v>48</v>
      </c>
      <c r="E120">
        <v>1379</v>
      </c>
    </row>
    <row r="121" spans="1:5">
      <c r="A121">
        <v>2013.5</v>
      </c>
      <c r="B121" t="s">
        <v>64</v>
      </c>
      <c r="C121" t="s">
        <v>44</v>
      </c>
      <c r="D121" t="s">
        <v>49</v>
      </c>
      <c r="E121">
        <v>1288</v>
      </c>
    </row>
    <row r="122" spans="1:5">
      <c r="A122">
        <v>2013.5</v>
      </c>
      <c r="B122" t="s">
        <v>64</v>
      </c>
      <c r="C122" t="s">
        <v>44</v>
      </c>
      <c r="D122" t="s">
        <v>50</v>
      </c>
      <c r="E122">
        <v>1227</v>
      </c>
    </row>
    <row r="123" spans="1:5">
      <c r="A123">
        <v>2013.5</v>
      </c>
      <c r="B123" t="s">
        <v>64</v>
      </c>
      <c r="C123" t="s">
        <v>44</v>
      </c>
      <c r="D123" t="s">
        <v>51</v>
      </c>
      <c r="E123">
        <v>865</v>
      </c>
    </row>
    <row r="124" spans="1:5">
      <c r="A124">
        <v>2013.5</v>
      </c>
      <c r="B124" t="s">
        <v>64</v>
      </c>
      <c r="C124" t="s">
        <v>44</v>
      </c>
      <c r="D124" t="s">
        <v>52</v>
      </c>
      <c r="E124">
        <v>744</v>
      </c>
    </row>
    <row r="125" spans="1:5">
      <c r="A125">
        <v>2013.5</v>
      </c>
      <c r="B125" t="s">
        <v>64</v>
      </c>
      <c r="C125" t="s">
        <v>44</v>
      </c>
      <c r="D125" t="s">
        <v>54</v>
      </c>
      <c r="E125">
        <v>521</v>
      </c>
    </row>
    <row r="126" spans="1:5">
      <c r="A126">
        <v>2013.5</v>
      </c>
      <c r="B126" t="s">
        <v>64</v>
      </c>
      <c r="C126" t="s">
        <v>44</v>
      </c>
      <c r="D126" t="s">
        <v>55</v>
      </c>
      <c r="E126">
        <v>421</v>
      </c>
    </row>
    <row r="127" spans="1:5">
      <c r="A127">
        <v>2013.5</v>
      </c>
      <c r="B127" t="s">
        <v>64</v>
      </c>
      <c r="C127" t="s">
        <v>44</v>
      </c>
      <c r="D127" t="s">
        <v>69</v>
      </c>
      <c r="E127">
        <v>965</v>
      </c>
    </row>
    <row r="128" spans="1:5">
      <c r="A128">
        <v>2013.5</v>
      </c>
      <c r="B128" t="s">
        <v>64</v>
      </c>
      <c r="C128" t="s">
        <v>53</v>
      </c>
      <c r="D128" t="s">
        <v>70</v>
      </c>
      <c r="E128">
        <v>4934</v>
      </c>
    </row>
    <row r="129" spans="1:5">
      <c r="A129">
        <v>2013.5</v>
      </c>
      <c r="B129" t="s">
        <v>64</v>
      </c>
      <c r="C129" t="s">
        <v>53</v>
      </c>
      <c r="D129" t="s">
        <v>67</v>
      </c>
      <c r="E129">
        <v>4821</v>
      </c>
    </row>
    <row r="130" spans="1:5">
      <c r="A130">
        <v>2013.5</v>
      </c>
      <c r="B130" t="s">
        <v>64</v>
      </c>
      <c r="C130" t="s">
        <v>53</v>
      </c>
      <c r="D130" t="s">
        <v>68</v>
      </c>
      <c r="E130">
        <v>4482</v>
      </c>
    </row>
    <row r="131" spans="1:5">
      <c r="A131">
        <v>2013.5</v>
      </c>
      <c r="B131" t="s">
        <v>64</v>
      </c>
      <c r="C131" t="s">
        <v>53</v>
      </c>
      <c r="D131" t="s">
        <v>45</v>
      </c>
      <c r="E131">
        <v>2965</v>
      </c>
    </row>
    <row r="132" spans="1:5">
      <c r="A132">
        <v>2013.5</v>
      </c>
      <c r="B132" t="s">
        <v>64</v>
      </c>
      <c r="C132" t="s">
        <v>53</v>
      </c>
      <c r="D132" t="s">
        <v>46</v>
      </c>
      <c r="E132">
        <v>2489</v>
      </c>
    </row>
    <row r="133" spans="1:5">
      <c r="A133">
        <v>2013.5</v>
      </c>
      <c r="B133" t="s">
        <v>64</v>
      </c>
      <c r="C133" t="s">
        <v>53</v>
      </c>
      <c r="D133" t="s">
        <v>47</v>
      </c>
      <c r="E133">
        <v>1982</v>
      </c>
    </row>
    <row r="134" spans="1:5">
      <c r="A134">
        <v>2013.5</v>
      </c>
      <c r="B134" t="s">
        <v>64</v>
      </c>
      <c r="C134" t="s">
        <v>53</v>
      </c>
      <c r="D134" t="s">
        <v>48</v>
      </c>
      <c r="E134">
        <v>1724</v>
      </c>
    </row>
    <row r="135" spans="1:5">
      <c r="A135">
        <v>2013.5</v>
      </c>
      <c r="B135" t="s">
        <v>64</v>
      </c>
      <c r="C135" t="s">
        <v>53</v>
      </c>
      <c r="D135" t="s">
        <v>49</v>
      </c>
      <c r="E135">
        <v>1528</v>
      </c>
    </row>
    <row r="136" spans="1:5">
      <c r="A136">
        <v>2013.5</v>
      </c>
      <c r="B136" t="s">
        <v>64</v>
      </c>
      <c r="C136" t="s">
        <v>53</v>
      </c>
      <c r="D136" t="s">
        <v>50</v>
      </c>
      <c r="E136">
        <v>1245</v>
      </c>
    </row>
    <row r="137" spans="1:5">
      <c r="A137">
        <v>2013.5</v>
      </c>
      <c r="B137" t="s">
        <v>64</v>
      </c>
      <c r="C137" t="s">
        <v>53</v>
      </c>
      <c r="D137" t="s">
        <v>51</v>
      </c>
      <c r="E137">
        <v>980</v>
      </c>
    </row>
    <row r="138" spans="1:5">
      <c r="A138">
        <v>2013.5</v>
      </c>
      <c r="B138" t="s">
        <v>64</v>
      </c>
      <c r="C138" t="s">
        <v>53</v>
      </c>
      <c r="D138" t="s">
        <v>52</v>
      </c>
      <c r="E138">
        <v>948</v>
      </c>
    </row>
    <row r="139" spans="1:5">
      <c r="A139">
        <v>2013.5</v>
      </c>
      <c r="B139" t="s">
        <v>64</v>
      </c>
      <c r="C139" t="s">
        <v>53</v>
      </c>
      <c r="D139" t="s">
        <v>54</v>
      </c>
      <c r="E139">
        <v>538</v>
      </c>
    </row>
    <row r="140" spans="1:5">
      <c r="A140">
        <v>2013.5</v>
      </c>
      <c r="B140" t="s">
        <v>64</v>
      </c>
      <c r="C140" t="s">
        <v>53</v>
      </c>
      <c r="D140" t="s">
        <v>55</v>
      </c>
      <c r="E140">
        <v>582</v>
      </c>
    </row>
    <row r="141" spans="1:5">
      <c r="A141">
        <v>2013.5</v>
      </c>
      <c r="B141" t="s">
        <v>64</v>
      </c>
      <c r="C141" t="s">
        <v>53</v>
      </c>
      <c r="D141" t="s">
        <v>69</v>
      </c>
      <c r="E141">
        <v>1253</v>
      </c>
    </row>
    <row r="142" spans="1:5">
      <c r="A142">
        <v>2013.5</v>
      </c>
      <c r="B142" t="s">
        <v>61</v>
      </c>
      <c r="C142" t="s">
        <v>44</v>
      </c>
      <c r="D142" t="s">
        <v>70</v>
      </c>
      <c r="E142">
        <v>4647</v>
      </c>
    </row>
    <row r="143" spans="1:5">
      <c r="A143">
        <v>2013.5</v>
      </c>
      <c r="B143" t="s">
        <v>61</v>
      </c>
      <c r="C143" t="s">
        <v>44</v>
      </c>
      <c r="D143" t="s">
        <v>67</v>
      </c>
      <c r="E143">
        <v>5215</v>
      </c>
    </row>
    <row r="144" spans="1:5">
      <c r="A144">
        <v>2013.5</v>
      </c>
      <c r="B144" t="s">
        <v>61</v>
      </c>
      <c r="C144" t="s">
        <v>44</v>
      </c>
      <c r="D144" t="s">
        <v>68</v>
      </c>
      <c r="E144">
        <v>4627</v>
      </c>
    </row>
    <row r="145" spans="1:5">
      <c r="A145">
        <v>2013.5</v>
      </c>
      <c r="B145" t="s">
        <v>61</v>
      </c>
      <c r="C145" t="s">
        <v>44</v>
      </c>
      <c r="D145" t="s">
        <v>45</v>
      </c>
      <c r="E145">
        <v>2876</v>
      </c>
    </row>
    <row r="146" spans="1:5">
      <c r="A146">
        <v>2013.5</v>
      </c>
      <c r="B146" t="s">
        <v>61</v>
      </c>
      <c r="C146" t="s">
        <v>44</v>
      </c>
      <c r="D146" t="s">
        <v>46</v>
      </c>
      <c r="E146">
        <v>1559</v>
      </c>
    </row>
    <row r="147" spans="1:5">
      <c r="A147">
        <v>2013.5</v>
      </c>
      <c r="B147" t="s">
        <v>61</v>
      </c>
      <c r="C147" t="s">
        <v>44</v>
      </c>
      <c r="D147" t="s">
        <v>47</v>
      </c>
      <c r="E147">
        <v>1542</v>
      </c>
    </row>
    <row r="148" spans="1:5">
      <c r="A148">
        <v>2013.5</v>
      </c>
      <c r="B148" t="s">
        <v>61</v>
      </c>
      <c r="C148" t="s">
        <v>44</v>
      </c>
      <c r="D148" t="s">
        <v>48</v>
      </c>
      <c r="E148">
        <v>1330</v>
      </c>
    </row>
    <row r="149" spans="1:5">
      <c r="A149">
        <v>2013.5</v>
      </c>
      <c r="B149" t="s">
        <v>61</v>
      </c>
      <c r="C149" t="s">
        <v>44</v>
      </c>
      <c r="D149" t="s">
        <v>49</v>
      </c>
      <c r="E149">
        <v>1098</v>
      </c>
    </row>
    <row r="150" spans="1:5">
      <c r="A150">
        <v>2013.5</v>
      </c>
      <c r="B150" t="s">
        <v>61</v>
      </c>
      <c r="C150" t="s">
        <v>44</v>
      </c>
      <c r="D150" t="s">
        <v>50</v>
      </c>
      <c r="E150">
        <v>777</v>
      </c>
    </row>
    <row r="151" spans="1:5">
      <c r="A151">
        <v>2013.5</v>
      </c>
      <c r="B151" t="s">
        <v>61</v>
      </c>
      <c r="C151" t="s">
        <v>44</v>
      </c>
      <c r="D151" t="s">
        <v>51</v>
      </c>
      <c r="E151">
        <v>593</v>
      </c>
    </row>
    <row r="152" spans="1:5">
      <c r="A152">
        <v>2013.5</v>
      </c>
      <c r="B152" t="s">
        <v>61</v>
      </c>
      <c r="C152" t="s">
        <v>44</v>
      </c>
      <c r="D152" t="s">
        <v>52</v>
      </c>
      <c r="E152">
        <v>528</v>
      </c>
    </row>
    <row r="153" spans="1:5">
      <c r="A153">
        <v>2013.5</v>
      </c>
      <c r="B153" t="s">
        <v>61</v>
      </c>
      <c r="C153" t="s">
        <v>44</v>
      </c>
      <c r="D153" t="s">
        <v>54</v>
      </c>
      <c r="E153">
        <v>488</v>
      </c>
    </row>
    <row r="154" spans="1:5">
      <c r="A154">
        <v>2013.5</v>
      </c>
      <c r="B154" t="s">
        <v>61</v>
      </c>
      <c r="C154" t="s">
        <v>44</v>
      </c>
      <c r="D154" t="s">
        <v>55</v>
      </c>
      <c r="E154">
        <v>424</v>
      </c>
    </row>
    <row r="155" spans="1:5">
      <c r="A155">
        <v>2013.5</v>
      </c>
      <c r="B155" t="s">
        <v>61</v>
      </c>
      <c r="C155" t="s">
        <v>44</v>
      </c>
      <c r="D155" t="s">
        <v>69</v>
      </c>
      <c r="E155">
        <v>950</v>
      </c>
    </row>
    <row r="156" spans="1:5">
      <c r="A156">
        <v>2013.5</v>
      </c>
      <c r="B156" t="s">
        <v>61</v>
      </c>
      <c r="C156" t="s">
        <v>53</v>
      </c>
      <c r="D156" t="s">
        <v>70</v>
      </c>
      <c r="E156">
        <v>4720</v>
      </c>
    </row>
    <row r="157" spans="1:5">
      <c r="A157">
        <v>2013.5</v>
      </c>
      <c r="B157" t="s">
        <v>61</v>
      </c>
      <c r="C157" t="s">
        <v>53</v>
      </c>
      <c r="D157" t="s">
        <v>67</v>
      </c>
      <c r="E157">
        <v>5179</v>
      </c>
    </row>
    <row r="158" spans="1:5">
      <c r="A158">
        <v>2013.5</v>
      </c>
      <c r="B158" t="s">
        <v>61</v>
      </c>
      <c r="C158" t="s">
        <v>53</v>
      </c>
      <c r="D158" t="s">
        <v>68</v>
      </c>
      <c r="E158">
        <v>4350</v>
      </c>
    </row>
    <row r="159" spans="1:5">
      <c r="A159">
        <v>2013.5</v>
      </c>
      <c r="B159" t="s">
        <v>61</v>
      </c>
      <c r="C159" t="s">
        <v>53</v>
      </c>
      <c r="D159" t="s">
        <v>45</v>
      </c>
      <c r="E159">
        <v>2659</v>
      </c>
    </row>
    <row r="160" spans="1:5">
      <c r="A160">
        <v>2013.5</v>
      </c>
      <c r="B160" t="s">
        <v>61</v>
      </c>
      <c r="C160" t="s">
        <v>53</v>
      </c>
      <c r="D160" t="s">
        <v>46</v>
      </c>
      <c r="E160">
        <v>2159</v>
      </c>
    </row>
    <row r="161" spans="1:5">
      <c r="A161">
        <v>2013.5</v>
      </c>
      <c r="B161" t="s">
        <v>61</v>
      </c>
      <c r="C161" t="s">
        <v>53</v>
      </c>
      <c r="D161" t="s">
        <v>47</v>
      </c>
      <c r="E161">
        <v>2232</v>
      </c>
    </row>
    <row r="162" spans="1:5">
      <c r="A162">
        <v>2013.5</v>
      </c>
      <c r="B162" t="s">
        <v>61</v>
      </c>
      <c r="C162" t="s">
        <v>53</v>
      </c>
      <c r="D162" t="s">
        <v>48</v>
      </c>
      <c r="E162">
        <v>1584</v>
      </c>
    </row>
    <row r="163" spans="1:5">
      <c r="A163">
        <v>2013.5</v>
      </c>
      <c r="B163" t="s">
        <v>61</v>
      </c>
      <c r="C163" t="s">
        <v>53</v>
      </c>
      <c r="D163" t="s">
        <v>49</v>
      </c>
      <c r="E163">
        <v>1370</v>
      </c>
    </row>
    <row r="164" spans="1:5">
      <c r="A164">
        <v>2013.5</v>
      </c>
      <c r="B164" t="s">
        <v>61</v>
      </c>
      <c r="C164" t="s">
        <v>53</v>
      </c>
      <c r="D164" t="s">
        <v>50</v>
      </c>
      <c r="E164">
        <v>1006</v>
      </c>
    </row>
    <row r="165" spans="1:5">
      <c r="A165">
        <v>2013.5</v>
      </c>
      <c r="B165" t="s">
        <v>61</v>
      </c>
      <c r="C165" t="s">
        <v>53</v>
      </c>
      <c r="D165" t="s">
        <v>51</v>
      </c>
      <c r="E165">
        <v>813</v>
      </c>
    </row>
    <row r="166" spans="1:5">
      <c r="A166">
        <v>2013.5</v>
      </c>
      <c r="B166" t="s">
        <v>61</v>
      </c>
      <c r="C166" t="s">
        <v>53</v>
      </c>
      <c r="D166" t="s">
        <v>52</v>
      </c>
      <c r="E166">
        <v>871</v>
      </c>
    </row>
    <row r="167" spans="1:5">
      <c r="A167">
        <v>2013.5</v>
      </c>
      <c r="B167" t="s">
        <v>61</v>
      </c>
      <c r="C167" t="s">
        <v>53</v>
      </c>
      <c r="D167" t="s">
        <v>54</v>
      </c>
      <c r="E167">
        <v>697</v>
      </c>
    </row>
    <row r="168" spans="1:5">
      <c r="A168">
        <v>2013.5</v>
      </c>
      <c r="B168" t="s">
        <v>61</v>
      </c>
      <c r="C168" t="s">
        <v>53</v>
      </c>
      <c r="D168" t="s">
        <v>55</v>
      </c>
      <c r="E168">
        <v>664</v>
      </c>
    </row>
    <row r="169" spans="1:5">
      <c r="A169">
        <v>2013.5</v>
      </c>
      <c r="B169" t="s">
        <v>61</v>
      </c>
      <c r="C169" t="s">
        <v>53</v>
      </c>
      <c r="D169" t="s">
        <v>69</v>
      </c>
      <c r="E169">
        <v>1420</v>
      </c>
    </row>
    <row r="170" spans="1:5">
      <c r="A170">
        <v>2013.5</v>
      </c>
      <c r="B170" t="s">
        <v>71</v>
      </c>
      <c r="C170" t="s">
        <v>65</v>
      </c>
      <c r="D170" t="s">
        <v>72</v>
      </c>
      <c r="E170">
        <f>SUM(E2:E169)</f>
        <v>303501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13"/>
    </sheetView>
  </sheetViews>
  <sheetFormatPr baseColWidth="10" defaultColWidth="8.83203125" defaultRowHeight="12" x14ac:dyDescent="0"/>
  <sheetData>
    <row r="1" spans="1:7" ht="13">
      <c r="A1" s="1" t="s">
        <v>33</v>
      </c>
      <c r="B1" s="1" t="s">
        <v>57</v>
      </c>
      <c r="C1" s="1" t="s">
        <v>35</v>
      </c>
      <c r="D1" s="1" t="s">
        <v>36</v>
      </c>
      <c r="E1" s="1" t="s">
        <v>13</v>
      </c>
      <c r="F1" s="1" t="s">
        <v>40</v>
      </c>
      <c r="G1" s="1" t="s">
        <v>41</v>
      </c>
    </row>
    <row r="2" spans="1:7" ht="13">
      <c r="A2" s="1">
        <v>2013.5</v>
      </c>
      <c r="B2" s="1" t="s">
        <v>59</v>
      </c>
      <c r="C2" s="1" t="s">
        <v>44</v>
      </c>
      <c r="D2" s="1" t="s">
        <v>66</v>
      </c>
      <c r="E2" s="11">
        <v>155</v>
      </c>
      <c r="F2" s="3">
        <f t="shared" ref="F2:F13" si="0">E2-2*SQRT(E2)</f>
        <v>130.10020080402253</v>
      </c>
      <c r="G2" s="3">
        <f t="shared" ref="G2:G13" si="1">E2+2*SQRT(E2)</f>
        <v>179.89979919597747</v>
      </c>
    </row>
    <row r="3" spans="1:7" ht="13">
      <c r="A3" s="1">
        <v>2013.5</v>
      </c>
      <c r="B3" s="1" t="s">
        <v>62</v>
      </c>
      <c r="C3" s="1" t="s">
        <v>44</v>
      </c>
      <c r="D3" s="1" t="s">
        <v>66</v>
      </c>
      <c r="E3" s="11">
        <v>213</v>
      </c>
      <c r="F3" s="3">
        <f t="shared" si="0"/>
        <v>183.81096096134715</v>
      </c>
      <c r="G3" s="3">
        <f t="shared" si="1"/>
        <v>242.18903903865285</v>
      </c>
    </row>
    <row r="4" spans="1:7" ht="13">
      <c r="A4" s="1">
        <v>2013.5</v>
      </c>
      <c r="B4" s="1" t="s">
        <v>60</v>
      </c>
      <c r="C4" s="1" t="s">
        <v>44</v>
      </c>
      <c r="D4" s="1" t="s">
        <v>66</v>
      </c>
      <c r="E4" s="11">
        <v>805</v>
      </c>
      <c r="F4" s="3">
        <f t="shared" si="0"/>
        <v>748.25495616355556</v>
      </c>
      <c r="G4" s="3">
        <f t="shared" si="1"/>
        <v>861.74504383644444</v>
      </c>
    </row>
    <row r="5" spans="1:7" ht="13">
      <c r="A5" s="1">
        <v>2013.5</v>
      </c>
      <c r="B5" s="1" t="s">
        <v>63</v>
      </c>
      <c r="C5" s="1" t="s">
        <v>44</v>
      </c>
      <c r="D5" s="1" t="s">
        <v>66</v>
      </c>
      <c r="E5" s="11">
        <v>63</v>
      </c>
      <c r="F5" s="3">
        <f t="shared" si="0"/>
        <v>47.125492133612454</v>
      </c>
      <c r="G5" s="3">
        <f t="shared" si="1"/>
        <v>78.874507866387546</v>
      </c>
    </row>
    <row r="6" spans="1:7" ht="13">
      <c r="A6" s="1">
        <v>2013.5</v>
      </c>
      <c r="B6" s="1" t="s">
        <v>64</v>
      </c>
      <c r="C6" s="1" t="s">
        <v>44</v>
      </c>
      <c r="D6" s="1" t="s">
        <v>66</v>
      </c>
      <c r="E6" s="11">
        <v>248</v>
      </c>
      <c r="F6" s="3">
        <f t="shared" si="0"/>
        <v>216.50396850395276</v>
      </c>
      <c r="G6" s="3">
        <f t="shared" si="1"/>
        <v>279.49603149604724</v>
      </c>
    </row>
    <row r="7" spans="1:7" ht="13">
      <c r="A7" s="1">
        <v>2013.5</v>
      </c>
      <c r="B7" s="1" t="s">
        <v>61</v>
      </c>
      <c r="C7" s="1" t="s">
        <v>44</v>
      </c>
      <c r="D7" s="1" t="s">
        <v>66</v>
      </c>
      <c r="E7" s="11">
        <v>908</v>
      </c>
      <c r="F7" s="3">
        <f t="shared" si="0"/>
        <v>847.73392330672255</v>
      </c>
      <c r="G7" s="3">
        <f t="shared" si="1"/>
        <v>968.26607669327745</v>
      </c>
    </row>
    <row r="8" spans="1:7" ht="13">
      <c r="A8" s="1">
        <v>2013.5</v>
      </c>
      <c r="B8" s="1" t="s">
        <v>59</v>
      </c>
      <c r="C8" s="1" t="s">
        <v>53</v>
      </c>
      <c r="D8" s="1" t="s">
        <v>66</v>
      </c>
      <c r="E8" s="11">
        <v>321</v>
      </c>
      <c r="F8" s="3">
        <f t="shared" si="0"/>
        <v>285.16705426566216</v>
      </c>
      <c r="G8" s="3">
        <f t="shared" si="1"/>
        <v>356.83294573433784</v>
      </c>
    </row>
    <row r="9" spans="1:7" ht="13">
      <c r="A9" s="1">
        <v>2013.5</v>
      </c>
      <c r="B9" s="1" t="s">
        <v>62</v>
      </c>
      <c r="C9" s="1" t="s">
        <v>53</v>
      </c>
      <c r="D9" s="1" t="s">
        <v>66</v>
      </c>
      <c r="E9" s="11">
        <v>458</v>
      </c>
      <c r="F9" s="3">
        <f t="shared" si="0"/>
        <v>415.19813088193462</v>
      </c>
      <c r="G9" s="3">
        <f t="shared" si="1"/>
        <v>500.80186911806538</v>
      </c>
    </row>
    <row r="10" spans="1:7" ht="13">
      <c r="A10" s="1">
        <v>2013.5</v>
      </c>
      <c r="B10" s="1" t="s">
        <v>60</v>
      </c>
      <c r="C10" s="1" t="s">
        <v>53</v>
      </c>
      <c r="D10" s="1" t="s">
        <v>66</v>
      </c>
      <c r="E10" s="11">
        <v>1438</v>
      </c>
      <c r="F10" s="3">
        <f t="shared" si="0"/>
        <v>1362.1580590965659</v>
      </c>
      <c r="G10" s="3">
        <f t="shared" si="1"/>
        <v>1513.8419409034341</v>
      </c>
    </row>
    <row r="11" spans="1:7" ht="13">
      <c r="A11" s="1">
        <v>2013.5</v>
      </c>
      <c r="B11" s="1" t="s">
        <v>63</v>
      </c>
      <c r="C11" s="1" t="s">
        <v>53</v>
      </c>
      <c r="D11" s="1" t="s">
        <v>66</v>
      </c>
      <c r="E11" s="11">
        <v>179</v>
      </c>
      <c r="F11" s="3">
        <f t="shared" si="0"/>
        <v>152.24182367948069</v>
      </c>
      <c r="G11" s="3">
        <f t="shared" si="1"/>
        <v>205.75817632051931</v>
      </c>
    </row>
    <row r="12" spans="1:7" ht="13">
      <c r="A12" s="1">
        <v>2013.5</v>
      </c>
      <c r="B12" s="1" t="s">
        <v>64</v>
      </c>
      <c r="C12" s="1" t="s">
        <v>53</v>
      </c>
      <c r="D12" s="1" t="s">
        <v>66</v>
      </c>
      <c r="E12" s="11">
        <v>607</v>
      </c>
      <c r="F12" s="3">
        <f t="shared" si="0"/>
        <v>557.72526002098027</v>
      </c>
      <c r="G12" s="3">
        <f t="shared" si="1"/>
        <v>656.27473997901973</v>
      </c>
    </row>
    <row r="13" spans="1:7" ht="13">
      <c r="A13" s="1">
        <v>2013.5</v>
      </c>
      <c r="B13" s="1" t="s">
        <v>61</v>
      </c>
      <c r="C13" s="1" t="s">
        <v>53</v>
      </c>
      <c r="D13" s="1" t="s">
        <v>66</v>
      </c>
      <c r="E13" s="12">
        <v>1807</v>
      </c>
      <c r="F13" s="3">
        <f t="shared" si="0"/>
        <v>1721.982354772671</v>
      </c>
      <c r="G13" s="3">
        <f t="shared" si="1"/>
        <v>1892.017645227329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Components</vt:lpstr>
      <vt:lpstr>NationalPrevalence</vt:lpstr>
      <vt:lpstr>ProvincialPrevalence</vt:lpstr>
      <vt:lpstr>On_ART</vt:lpstr>
      <vt:lpstr>Population</vt:lpstr>
      <vt:lpstr>On 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Britta Jewell</cp:lastModifiedBy>
  <cp:revision>132</cp:revision>
  <dcterms:created xsi:type="dcterms:W3CDTF">2016-06-10T11:15:10Z</dcterms:created>
  <dcterms:modified xsi:type="dcterms:W3CDTF">2018-03-13T19:25:19Z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