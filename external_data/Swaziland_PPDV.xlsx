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damak\Dropbox (IDM)\GitHub\EMOD_eswatini\Swaziland_point_estimates\"/>
    </mc:Choice>
  </mc:AlternateContent>
  <xr:revisionPtr revIDLastSave="0" documentId="8_{D6ABD823-CA98-4DC9-87FF-435E33A25851}" xr6:coauthVersionLast="47" xr6:coauthVersionMax="47" xr10:uidLastSave="{00000000-0000-0000-0000-000000000000}"/>
  <bookViews>
    <workbookView xWindow="-240" yWindow="-240" windowWidth="29280" windowHeight="1608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J7" i="1"/>
  <c r="J6" i="1"/>
  <c r="P4" i="1"/>
  <c r="P5" i="1"/>
  <c r="P2" i="1"/>
  <c r="P3" i="1"/>
</calcChain>
</file>

<file path=xl/sharedStrings.xml><?xml version="1.0" encoding="utf-8"?>
<sst xmlns="http://schemas.openxmlformats.org/spreadsheetml/2006/main" count="22" uniqueCount="18">
  <si>
    <t>Year</t>
  </si>
  <si>
    <t>Gender</t>
  </si>
  <si>
    <t>AgeCat</t>
  </si>
  <si>
    <t>Prev</t>
  </si>
  <si>
    <t>Prev_lb</t>
  </si>
  <si>
    <t>Prev_ub</t>
  </si>
  <si>
    <t>ART_prev</t>
  </si>
  <si>
    <t>ART_prev_lb</t>
  </si>
  <si>
    <t>ART_prev_ub</t>
  </si>
  <si>
    <t>VLS</t>
  </si>
  <si>
    <t>VLS_lb</t>
  </si>
  <si>
    <t>VLS_ub</t>
  </si>
  <si>
    <t>15-49</t>
  </si>
  <si>
    <t>Inc</t>
  </si>
  <si>
    <t>Inc_lb</t>
  </si>
  <si>
    <t>Inc_ub</t>
  </si>
  <si>
    <t>ppdv</t>
  </si>
  <si>
    <t>18-49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</si>
</sst>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K14" sqref="K14"/>
    </sheetView>
  </sheetViews>
  <sheetFormatPr defaultRowHeight="15" x14ac:dyDescent="0.25"/>
  <cols>
    <col min="8" max="9" width="12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>
        <v>2021</v>
      </c>
      <c r="B2">
        <v>0</v>
      </c>
      <c r="C2" t="s">
        <v>12</v>
      </c>
      <c r="D2">
        <v>0.156</v>
      </c>
      <c r="E2">
        <v>0.14299999999999999</v>
      </c>
      <c r="F2">
        <v>0.16900000000000001</v>
      </c>
      <c r="J2">
        <v>0.82399999999999995</v>
      </c>
      <c r="K2">
        <v>0.79300000000000004</v>
      </c>
      <c r="L2">
        <v>0.85499999999999998</v>
      </c>
      <c r="M2">
        <v>0.2</v>
      </c>
      <c r="N2">
        <v>0</v>
      </c>
      <c r="O2">
        <v>0.48</v>
      </c>
      <c r="P2">
        <f>D2*(1-J2)</f>
        <v>2.7456000000000008E-2</v>
      </c>
    </row>
    <row r="3" spans="1:16" x14ac:dyDescent="0.25">
      <c r="A3">
        <v>2021</v>
      </c>
      <c r="B3">
        <v>1</v>
      </c>
      <c r="C3" t="s">
        <v>12</v>
      </c>
      <c r="D3">
        <v>0.316</v>
      </c>
      <c r="E3">
        <v>0.29799999999999999</v>
      </c>
      <c r="F3">
        <v>0.33400000000000002</v>
      </c>
      <c r="J3">
        <v>0.88600000000000001</v>
      </c>
      <c r="K3">
        <v>0.87</v>
      </c>
      <c r="L3">
        <v>0.90200000000000002</v>
      </c>
      <c r="M3">
        <v>1.45</v>
      </c>
      <c r="N3">
        <v>0.69</v>
      </c>
      <c r="O3">
        <v>2.2000000000000002</v>
      </c>
      <c r="P3">
        <f>D3*(1-J3)</f>
        <v>3.6024E-2</v>
      </c>
    </row>
    <row r="4" spans="1:16" x14ac:dyDescent="0.25">
      <c r="A4">
        <v>2016</v>
      </c>
      <c r="B4">
        <v>0</v>
      </c>
      <c r="C4" t="s">
        <v>12</v>
      </c>
      <c r="D4">
        <v>0.189</v>
      </c>
      <c r="E4">
        <v>0.17299999999999999</v>
      </c>
      <c r="F4">
        <v>0.20399999999999999</v>
      </c>
      <c r="J4">
        <v>0.62327200000000005</v>
      </c>
      <c r="K4">
        <v>0.59469000000000005</v>
      </c>
      <c r="L4">
        <v>0.65093199999999996</v>
      </c>
      <c r="M4">
        <v>0.85</v>
      </c>
      <c r="N4">
        <v>0.21</v>
      </c>
      <c r="O4">
        <v>1.49</v>
      </c>
      <c r="P4">
        <f t="shared" ref="P4:P7" si="0">D4*(1-J4)</f>
        <v>7.1201591999999994E-2</v>
      </c>
    </row>
    <row r="5" spans="1:16" x14ac:dyDescent="0.25">
      <c r="A5">
        <v>2016</v>
      </c>
      <c r="B5">
        <v>1</v>
      </c>
      <c r="C5" t="s">
        <v>12</v>
      </c>
      <c r="D5">
        <v>0.34300000000000003</v>
      </c>
      <c r="E5">
        <v>0.32600000000000001</v>
      </c>
      <c r="F5">
        <v>0.36</v>
      </c>
      <c r="J5">
        <v>0.74783999999999995</v>
      </c>
      <c r="K5">
        <v>0.72619199999999995</v>
      </c>
      <c r="L5">
        <v>0.76948800000000006</v>
      </c>
      <c r="M5">
        <v>1.73</v>
      </c>
      <c r="N5">
        <v>0.96</v>
      </c>
      <c r="O5">
        <v>2.5</v>
      </c>
      <c r="P5">
        <f t="shared" si="0"/>
        <v>8.649088000000002E-2</v>
      </c>
    </row>
    <row r="6" spans="1:16" x14ac:dyDescent="0.25">
      <c r="A6">
        <v>2011</v>
      </c>
      <c r="B6">
        <v>0</v>
      </c>
      <c r="C6" t="s">
        <v>17</v>
      </c>
      <c r="D6">
        <v>0.24</v>
      </c>
      <c r="E6">
        <v>0.23088805800000001</v>
      </c>
      <c r="F6">
        <v>0.24923000000000001</v>
      </c>
      <c r="G6">
        <v>0.33</v>
      </c>
      <c r="J6">
        <f>0.9*G6</f>
        <v>0.29700000000000004</v>
      </c>
      <c r="M6">
        <v>1.65</v>
      </c>
      <c r="N6">
        <v>1.28</v>
      </c>
      <c r="O6">
        <v>2.11</v>
      </c>
      <c r="P6">
        <f t="shared" si="0"/>
        <v>0.16871999999999998</v>
      </c>
    </row>
    <row r="7" spans="1:16" x14ac:dyDescent="0.25">
      <c r="A7">
        <v>2011</v>
      </c>
      <c r="B7">
        <v>1</v>
      </c>
      <c r="C7" t="s">
        <v>17</v>
      </c>
      <c r="D7">
        <v>0.39</v>
      </c>
      <c r="E7">
        <v>0.38038622</v>
      </c>
      <c r="F7">
        <v>0.39965600000000001</v>
      </c>
      <c r="G7">
        <v>0.34</v>
      </c>
      <c r="J7">
        <f>0.9*G7</f>
        <v>0.30600000000000005</v>
      </c>
      <c r="M7">
        <v>3.14</v>
      </c>
      <c r="N7">
        <v>2.63</v>
      </c>
      <c r="O7">
        <v>3.74</v>
      </c>
      <c r="P7">
        <f t="shared" si="0"/>
        <v>0.27066000000000001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Akullian</dc:creator>
  <cp:lastModifiedBy>Adam Akullian</cp:lastModifiedBy>
  <dcterms:created xsi:type="dcterms:W3CDTF">2015-06-05T18:17:20Z</dcterms:created>
  <dcterms:modified xsi:type="dcterms:W3CDTF">2024-01-02T20:59:15Z</dcterms:modified>
</cp:coreProperties>
</file>